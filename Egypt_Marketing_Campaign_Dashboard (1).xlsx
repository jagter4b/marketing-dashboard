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mpaign Overview" sheetId="2" state="visible" r:id="rId2"/>
    <sheet xmlns:r="http://schemas.openxmlformats.org/officeDocument/2006/relationships" name="Target Audience" sheetId="3" state="visible" r:id="rId3"/>
    <sheet xmlns:r="http://schemas.openxmlformats.org/officeDocument/2006/relationships" name="Channels &amp; Budget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KPIs &amp; Metrics" sheetId="6" state="visible" r:id="rId6"/>
    <sheet xmlns:r="http://schemas.openxmlformats.org/officeDocument/2006/relationships" name="Content Calendar" sheetId="7" state="visible" r:id="rId7"/>
    <sheet xmlns:r="http://schemas.openxmlformats.org/officeDocument/2006/relationships" name="Competitor Analysis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Weekly Performance" sheetId="10" state="visible" r:id="rId10"/>
    <sheet xmlns:r="http://schemas.openxmlformats.org/officeDocument/2006/relationships" name="Financial Summary" sheetId="11" state="visible" r:id="rId11"/>
    <sheet xmlns:r="http://schemas.openxmlformats.org/officeDocument/2006/relationships" name="Regional Break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0"/>
    </font>
    <font>
      <b val="1"/>
      <sz val="11"/>
    </font>
    <font>
      <b val="1"/>
      <color rgb="00FFFFFF"/>
      <sz val="11"/>
    </font>
    <font>
      <b val="1"/>
      <sz val="10"/>
    </font>
    <font>
      <b val="1"/>
    </font>
    <font>
      <b val="1"/>
      <color rgb="009C0006"/>
    </font>
    <font>
      <b val="1"/>
      <color rgb="00006100"/>
    </font>
    <font>
      <b val="1"/>
      <color rgb="001F4E78"/>
    </font>
    <font>
      <b val="1"/>
      <color rgb="00666666"/>
    </font>
    <font>
      <b val="1"/>
      <color rgb="00C00000"/>
    </font>
    <font>
      <b val="1"/>
      <color rgb="0000B050"/>
    </font>
    <font>
      <b val="1"/>
      <color rgb="001F4E78"/>
      <sz val="14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6" fillId="0" borderId="0" pivotButton="0" quotePrefix="0" xfId="0"/>
    <xf numFmtId="3" fontId="9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Allocation by Channel</a:t>
            </a:r>
          </a:p>
        </rich>
      </tx>
    </title>
    <plotArea>
      <pieChart>
        <varyColors val="1"/>
        <ser>
          <idx val="0"/>
          <order val="0"/>
          <tx>
            <strRef>
              <f>'Channels &amp; 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'Channels &amp; Budget'!$A$2:$A$13</f>
            </numRef>
          </cat>
          <val>
            <numRef>
              <f>'Channels &amp; Budget'!$C$2:$C$13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'Weekly Performance'!D1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Performance'!$A$2:$A$14</f>
            </numRef>
          </cat>
          <val>
            <numRef>
              <f>'Weekly Performance'!$D$2:$D$14</f>
            </numRef>
          </val>
        </ser>
        <ser>
          <idx val="1"/>
          <order val="1"/>
          <tx>
            <strRef>
              <f>'Weekly Performance'!E1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Performance'!$A$2:$A$14</f>
            </numRef>
          </cat>
          <val>
            <numRef>
              <f>'Weekly Performance'!$E$2:$E$14</f>
            </numRef>
          </val>
        </ser>
        <ser>
          <idx val="2"/>
          <order val="2"/>
          <tx>
            <strRef>
              <f>'Weekly Performance'!F1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Performance'!$A$2:$A$14</f>
            </numRef>
          </cat>
          <val>
            <numRef>
              <f>'Weekly Performance'!$F$2:$F$14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Breakdown'!H1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Breakdown'!$A$2:$A$9</f>
            </numRef>
          </cat>
          <val>
            <numRef>
              <f>'Regional Breakdown'!$H$2:$H$9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Market Share</a:t>
            </a:r>
          </a:p>
        </rich>
      </tx>
    </title>
    <plotArea>
      <pieChart>
        <varyColors val="1"/>
        <ser>
          <idx val="0"/>
          <order val="0"/>
          <tx>
            <strRef>
              <f>'Competitor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'Competitor Analysis'!$A$2:$A$6</f>
            </numRef>
          </cat>
          <val>
            <numRef>
              <f>'Competitor Analysis'!$B$2:$B$6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udienceTable" displayName="AudienceTable" ref="A1:J6" headerRowCount="1">
  <autoFilter ref="A1:J6"/>
  <tableColumns count="10">
    <tableColumn id="1" name="Segment"/>
    <tableColumn id="2" name="Age Range"/>
    <tableColumn id="3" name="Gender Split"/>
    <tableColumn id="4" name="Location"/>
    <tableColumn id="5" name="Income Level (Monthly)"/>
    <tableColumn id="6" name="Primary Pain Point"/>
    <tableColumn id="7" name="Preferred Channels"/>
    <tableColumn id="8" name="Estimated Reach"/>
    <tableColumn id="9" name="Priority"/>
    <tableColumn id="10" name="Conversion Potenti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nnelTable" displayName="ChannelTable" ref="A1:I13" headerRowCount="1">
  <autoFilter ref="A1:I13"/>
  <tableColumns count="9">
    <tableColumn id="1" name="Channel"/>
    <tableColumn id="2" name="Allocation %"/>
    <tableColumn id="3" name="Budget (EGP)"/>
    <tableColumn id="4" name="Duration (Weeks)"/>
    <tableColumn id="5" name="Weekly Spend"/>
    <tableColumn id="6" name="KPI"/>
    <tableColumn id="7" name="Responsible"/>
    <tableColumn id="8" name="Status"/>
    <tableColumn id="9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lineTable" displayName="TimelineTable" ref="A1:H7" headerRowCount="1">
  <autoFilter ref="A1:H7"/>
  <tableColumns count="8">
    <tableColumn id="1" name="Phase"/>
    <tableColumn id="2" name="Start Date"/>
    <tableColumn id="3" name="End Date"/>
    <tableColumn id="4" name="Duration (Days)"/>
    <tableColumn id="5" name="Progress %"/>
    <tableColumn id="6" name="Key Activities"/>
    <tableColumn id="7" name="Deliverables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PITable" displayName="KPITable" ref="A1:G20" headerRowCount="1">
  <autoFilter ref="A1:G20"/>
  <tableColumns count="7">
    <tableColumn id="1" name="Metric Category"/>
    <tableColumn id="2" name="Specific Metric"/>
    <tableColumn id="3" name="Target"/>
    <tableColumn id="4" name="Actual (YTD)"/>
    <tableColumn id="5" name="Variance %"/>
    <tableColumn id="6" name="Status"/>
    <tableColumn id="7" name="Action Requi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ntTable" displayName="ContentTable" ref="A1:I14" headerRowCount="1">
  <autoFilter ref="A1:I14"/>
  <tableColumns count="9">
    <tableColumn id="1" name="Week"/>
    <tableColumn id="2" name="Theme"/>
    <tableColumn id="3" name="Primary Channel"/>
    <tableColumn id="4" name="Content Type"/>
    <tableColumn id="5" name="Budget (EGP)"/>
    <tableColumn id="6" name="Expected Reach"/>
    <tableColumn id="7" name="Expected Engagement"/>
    <tableColumn id="8" name="Owner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Table" displayName="CompetitorTable" ref="A1:I6" headerRowCount="1">
  <autoFilter ref="A1:I6"/>
  <tableColumns count="9">
    <tableColumn id="1" name="Competitor"/>
    <tableColumn id="2" name="Market Share"/>
    <tableColumn id="3" name="Price Positioning"/>
    <tableColumn id="4" name="Digital Spend (Est. EGP)"/>
    <tableColumn id="5" name="Social Followers"/>
    <tableColumn id="6" name="Strengths"/>
    <tableColumn id="7" name="Weaknesses"/>
    <tableColumn id="8" name="Our Advantage"/>
    <tableColumn id="9" name="Threat Le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iskTable" displayName="RiskTable" ref="A1:H9" headerRowCount="1">
  <autoFilter ref="A1:H9"/>
  <tableColumns count="8">
    <tableColumn id="1" name="Risk ID"/>
    <tableColumn id="2" name="Risk Description"/>
    <tableColumn id="3" name="Probability"/>
    <tableColumn id="4" name="Impact"/>
    <tableColumn id="5" name="Risk Score"/>
    <tableColumn id="6" name="Mitigation Strategy"/>
    <tableColumn id="7" name="Owner"/>
    <tableColumn id="8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WeeklyTable" displayName="WeeklyTable" ref="A1:H14" headerRowCount="1">
  <autoFilter ref="A1:H14"/>
  <tableColumns count="8">
    <tableColumn id="1" name="Week"/>
    <tableColumn id="2" name="Date Range"/>
    <tableColumn id="3" name="Spend (EGP)"/>
    <tableColumn id="4" name="Reach"/>
    <tableColumn id="5" name="Impressions"/>
    <tableColumn id="6" name="Clicks"/>
    <tableColumn id="7" name="Conversions"/>
    <tableColumn id="8" name="Revenue (EGP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gionalTable" displayName="RegionalTable" ref="A1:I9" headerRowCount="1">
  <autoFilter ref="A1:I9"/>
  <tableColumns count="9">
    <tableColumn id="1" name="Region"/>
    <tableColumn id="2" name="Population (M)"/>
    <tableColumn id="3" name="Target Audience %"/>
    <tableColumn id="4" name="Media Spend (EGP)"/>
    <tableColumn id="5" name="Reach"/>
    <tableColumn id="6" name="Conversion Rate"/>
    <tableColumn id="7" name="Revenue (EGP)"/>
    <tableColumn id="8" name="ROAS"/>
    <tableColumn id="9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EGYPT MARKETING CAMPAIGN DASHBOARD — SUMMER CONNECT 2026</t>
        </is>
      </c>
    </row>
    <row r="2">
      <c r="A2" s="2" t="inlineStr">
        <is>
          <t>Generated: 21 May 2026  |  Campaign Period: 01 June – 31 August 2026  |  Total Budget: EGP 4,500,000</t>
        </is>
      </c>
    </row>
    <row r="4">
      <c r="A4" s="3" t="inlineStr">
        <is>
          <t>Total Reach
3,247,891
+12.4% vs Target</t>
        </is>
      </c>
      <c r="D4" s="3" t="inlineStr">
        <is>
          <t>Engagement Rate
4.2%
+0.8pp vs Industry</t>
        </is>
      </c>
      <c r="G4" s="4" t="inlineStr">
        <is>
          <t>Conversion Rate
2.9%
-0.6pp vs Target</t>
        </is>
      </c>
    </row>
    <row r="5"/>
    <row r="7">
      <c r="A7" s="4" t="inlineStr">
        <is>
          <t>ROAS
3.8x
-0.2x vs Target</t>
        </is>
      </c>
      <c r="D7" s="3" t="inlineStr">
        <is>
          <t>Revenue
EGP 17.1M
+5.2% vs Forecast</t>
        </is>
      </c>
      <c r="G7" s="3" t="inlineStr">
        <is>
          <t>CPA
EGP 128
+6.7% vs Target</t>
        </is>
      </c>
    </row>
    <row r="8"/>
    <row r="42">
      <c r="A42" s="5" t="inlineStr">
        <is>
          <t>DASHBOARD SUMMARY FORMULAS</t>
        </is>
      </c>
    </row>
    <row r="43">
      <c r="A43" s="6" t="inlineStr">
        <is>
          <t>Total Budget:</t>
        </is>
      </c>
      <c r="B43" s="7">
        <f>Channels_Budget[[#Totals],[Budget (EGP)]]</f>
        <v/>
      </c>
    </row>
    <row r="44">
      <c r="A44" s="6" t="inlineStr">
        <is>
          <t>Total Reach (YTD):</t>
        </is>
      </c>
      <c r="B44" s="7">
        <f>SUM(WeeklyTable[Reach])</f>
        <v/>
      </c>
    </row>
    <row r="45">
      <c r="A45" s="6" t="inlineStr">
        <is>
          <t>Avg ROAS:</t>
        </is>
      </c>
      <c r="B45" s="7">
        <f>AVERAGE(WeeklyTable[ROAS])</f>
        <v/>
      </c>
    </row>
    <row r="46">
      <c r="A46" s="6" t="inlineStr">
        <is>
          <t>Total Conversions:</t>
        </is>
      </c>
      <c r="B46" s="7">
        <f>SUM(WeeklyTable[Conversions])</f>
        <v/>
      </c>
    </row>
    <row r="47">
      <c r="A47" s="6" t="inlineStr">
        <is>
          <t>Total Revenue:</t>
        </is>
      </c>
      <c r="B47" s="7">
        <f>SUM(WeeklyTable[Revenue (EGP)])</f>
        <v/>
      </c>
    </row>
  </sheetData>
  <mergeCells count="8">
    <mergeCell ref="A4:B5"/>
    <mergeCell ref="G4:H5"/>
    <mergeCell ref="D4:E5"/>
    <mergeCell ref="G7:H8"/>
    <mergeCell ref="D7:E8"/>
    <mergeCell ref="A7:B8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8" t="inlineStr">
        <is>
          <t>FIELD</t>
        </is>
      </c>
      <c r="B1" s="8" t="inlineStr">
        <is>
          <t>DETAILS</t>
        </is>
      </c>
    </row>
    <row r="2">
      <c r="A2" s="9" t="inlineStr">
        <is>
          <t>Campaign Name</t>
        </is>
      </c>
      <c r="B2" s="10" t="inlineStr">
        <is>
          <t>Summer Connect 2026 - Egypt</t>
        </is>
      </c>
    </row>
    <row r="3">
      <c r="A3" s="9" t="inlineStr">
        <is>
          <t>Client/Brand</t>
        </is>
      </c>
      <c r="B3" s="10" t="inlineStr">
        <is>
          <t>NileTech Solutions (Fictional Example)</t>
        </is>
      </c>
    </row>
    <row r="4">
      <c r="A4" s="9" t="inlineStr">
        <is>
          <t>Industry</t>
        </is>
      </c>
      <c r="B4" s="10" t="inlineStr">
        <is>
          <t>Consumer Electronics / Mobile Accessories</t>
        </is>
      </c>
    </row>
    <row r="5">
      <c r="A5" s="9" t="inlineStr">
        <is>
          <t>Campaign Objective</t>
        </is>
      </c>
      <c r="B5" s="10" t="inlineStr">
        <is>
          <t>Increase brand awareness &amp; drive Q3 sales by 25%</t>
        </is>
      </c>
    </row>
    <row r="6">
      <c r="A6" s="9" t="inlineStr">
        <is>
          <t>Target Market</t>
        </is>
      </c>
      <c r="B6" s="10" t="inlineStr">
        <is>
          <t>Egypt (Cairo, Alexandria, Giza, Delta Region, Upper Egypt)</t>
        </is>
      </c>
    </row>
    <row r="7">
      <c r="A7" s="9" t="inlineStr">
        <is>
          <t>Campaign Duration</t>
        </is>
      </c>
      <c r="B7" s="10" t="inlineStr">
        <is>
          <t>01 June 2026 – 31 August 2026 (13 weeks)</t>
        </is>
      </c>
    </row>
    <row r="8">
      <c r="A8" s="9" t="inlineStr">
        <is>
          <t>Total Budget</t>
        </is>
      </c>
      <c r="B8" s="10" t="inlineStr">
        <is>
          <t>EGP 4,500,000</t>
        </is>
      </c>
    </row>
    <row r="9">
      <c r="A9" s="9" t="inlineStr">
        <is>
          <t>Currency</t>
        </is>
      </c>
      <c r="B9" s="10" t="inlineStr">
        <is>
          <t>Egyptian Pound (EGP)</t>
        </is>
      </c>
    </row>
    <row r="10">
      <c r="A10" s="9" t="inlineStr">
        <is>
          <t>Campaign Manager</t>
        </is>
      </c>
      <c r="B10" s="10" t="inlineStr">
        <is>
          <t>[Your Name]</t>
        </is>
      </c>
    </row>
    <row r="11">
      <c r="A11" s="9" t="inlineStr">
        <is>
          <t>Status</t>
        </is>
      </c>
      <c r="B11" s="10" t="inlineStr">
        <is>
          <t>Planning / Approved / Active / Completed</t>
        </is>
      </c>
    </row>
    <row r="12">
      <c r="A12" s="9" t="inlineStr"/>
      <c r="B12" s="10" t="inlineStr"/>
    </row>
    <row r="13">
      <c r="A13" s="9" t="inlineStr">
        <is>
          <t>KEY MESSAGING</t>
        </is>
      </c>
      <c r="B13" s="10" t="inlineStr"/>
    </row>
    <row r="14">
      <c r="A14" s="9" t="inlineStr">
        <is>
          <t>Primary Message</t>
        </is>
      </c>
      <c r="B14" s="10" t="inlineStr">
        <is>
          <t>Stay Connected This Summer – Affordable Quality You Can Trust</t>
        </is>
      </c>
    </row>
    <row r="15">
      <c r="A15" s="9" t="inlineStr">
        <is>
          <t>Value Proposition</t>
        </is>
      </c>
      <c r="B15" s="10" t="inlineStr">
        <is>
          <t>Premium mobile accessories at local prices with 2-year warranty</t>
        </is>
      </c>
    </row>
    <row r="16">
      <c r="A16" s="9" t="inlineStr">
        <is>
          <t>Tone of Voice</t>
        </is>
      </c>
      <c r="B16" s="10" t="inlineStr">
        <is>
          <t>Youthful, energetic, trustworthy, locally relevant</t>
        </is>
      </c>
    </row>
    <row r="17">
      <c r="A17" s="9" t="inlineStr"/>
      <c r="B17" s="10" t="inlineStr"/>
    </row>
    <row r="18">
      <c r="A18" s="9" t="inlineStr">
        <is>
          <t>SWOT ANALYSIS</t>
        </is>
      </c>
      <c r="B18" s="10" t="inlineStr"/>
    </row>
    <row r="19">
      <c r="A19" s="9" t="inlineStr">
        <is>
          <t>Strengths</t>
        </is>
      </c>
      <c r="B19" s="10" t="inlineStr">
        <is>
          <t>Competitive pricing, local warranty, strong distributor network</t>
        </is>
      </c>
    </row>
    <row r="20">
      <c r="A20" s="9" t="inlineStr">
        <is>
          <t>Weaknesses</t>
        </is>
      </c>
      <c r="B20" s="10" t="inlineStr">
        <is>
          <t>Low brand recognition vs. international competitors</t>
        </is>
      </c>
    </row>
    <row r="21">
      <c r="A21" s="9" t="inlineStr">
        <is>
          <t>Opportunities</t>
        </is>
      </c>
      <c r="B21" s="10" t="inlineStr">
        <is>
          <t>Growing youth population (60% under 30), high mobile penetration (95%)</t>
        </is>
      </c>
    </row>
    <row r="22">
      <c r="A22" s="9" t="inlineStr">
        <is>
          <t>Threats</t>
        </is>
      </c>
      <c r="B22" s="10" t="inlineStr">
        <is>
          <t>Economic inflation, currency devaluation, import restrictions</t>
        </is>
      </c>
    </row>
  </sheetData>
  <dataValidations count="1">
    <dataValidation sqref="B11" showDropDown="0" showInputMessage="0" showErrorMessage="0" allowBlank="1" errorTitle="Invalid Entry" error="Please select from the list" promptTitle="Status" prompt="Select campaign status" type="list">
      <formula1>"Planning,Approved,Active,Completed"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Segment</t>
        </is>
      </c>
      <c r="B1" t="inlineStr">
        <is>
          <t>Age Range</t>
        </is>
      </c>
      <c r="C1" t="inlineStr">
        <is>
          <t>Gender Split</t>
        </is>
      </c>
      <c r="D1" t="inlineStr">
        <is>
          <t>Location</t>
        </is>
      </c>
      <c r="E1" t="inlineStr">
        <is>
          <t>Income Level (Monthly)</t>
        </is>
      </c>
      <c r="F1" t="inlineStr">
        <is>
          <t>Primary Pain Point</t>
        </is>
      </c>
      <c r="G1" t="inlineStr">
        <is>
          <t>Preferred Channels</t>
        </is>
      </c>
      <c r="H1" t="inlineStr">
        <is>
          <t>Estimated Reach</t>
        </is>
      </c>
      <c r="I1" t="inlineStr">
        <is>
          <t>Priority</t>
        </is>
      </c>
      <c r="J1" t="inlineStr">
        <is>
          <t>Conversion Potential</t>
        </is>
      </c>
    </row>
    <row r="2">
      <c r="A2" s="11" t="inlineStr">
        <is>
          <t>Young Professionals</t>
        </is>
      </c>
      <c r="B2" s="11" t="inlineStr">
        <is>
          <t>25-35</t>
        </is>
      </c>
      <c r="C2" s="11" t="inlineStr">
        <is>
          <t>55% F / 45% M</t>
        </is>
      </c>
      <c r="D2" s="11" t="inlineStr">
        <is>
          <t>Cairo (Zamalek, Maadi, New Cairo)</t>
        </is>
      </c>
      <c r="E2" s="11" t="inlineStr">
        <is>
          <t>EGP 15,000-35,000</t>
        </is>
      </c>
      <c r="F2" s="11" t="inlineStr">
        <is>
          <t>Need reliable accessories for work</t>
        </is>
      </c>
      <c r="G2" s="11" t="inlineStr">
        <is>
          <t>LinkedIn, Instagram, Email</t>
        </is>
      </c>
      <c r="H2" s="11" t="n">
        <v>850000</v>
      </c>
      <c r="I2" s="11" t="inlineStr">
        <is>
          <t>High</t>
        </is>
      </c>
      <c r="J2" s="11" t="n">
        <v>8.5</v>
      </c>
    </row>
    <row r="3">
      <c r="A3" s="11" t="inlineStr">
        <is>
          <t>University Students</t>
        </is>
      </c>
      <c r="B3" s="11" t="inlineStr">
        <is>
          <t>18-24</t>
        </is>
      </c>
      <c r="C3" s="11" t="inlineStr">
        <is>
          <t>50/50</t>
        </is>
      </c>
      <c r="D3" s="11" t="inlineStr">
        <is>
          <t>Cairo/Alexandria universities</t>
        </is>
      </c>
      <c r="E3" s="11" t="inlineStr">
        <is>
          <t>EGP 5,000-12,000</t>
        </is>
      </c>
      <c r="F3" s="11" t="inlineStr">
        <is>
          <t>Limited budget, high usage</t>
        </is>
      </c>
      <c r="G3" s="11" t="inlineStr">
        <is>
          <t>TikTok, Instagram, YouTube</t>
        </is>
      </c>
      <c r="H3" s="11" t="n">
        <v>1200000</v>
      </c>
      <c r="I3" s="11" t="inlineStr">
        <is>
          <t>High</t>
        </is>
      </c>
      <c r="J3" s="11" t="n">
        <v>6.2</v>
      </c>
    </row>
    <row r="4">
      <c r="A4" s="11" t="inlineStr">
        <is>
          <t>Tech Enthusiasts</t>
        </is>
      </c>
      <c r="B4" s="11" t="inlineStr">
        <is>
          <t>20-40</t>
        </is>
      </c>
      <c r="C4" s="11" t="inlineStr">
        <is>
          <t>70% M / 30% F</t>
        </is>
      </c>
      <c r="D4" s="11" t="inlineStr">
        <is>
          <t>Cairo, Alexandria, Giza</t>
        </is>
      </c>
      <c r="E4" s="11" t="inlineStr">
        <is>
          <t>EGP 20,000-50,000</t>
        </is>
      </c>
      <c r="F4" s="11" t="inlineStr">
        <is>
          <t>Want latest tech, quality matters</t>
        </is>
      </c>
      <c r="G4" s="11" t="inlineStr">
        <is>
          <t>Tech blogs, YouTube, Twitter/X</t>
        </is>
      </c>
      <c r="H4" s="11" t="n">
        <v>400000</v>
      </c>
      <c r="I4" s="11" t="inlineStr">
        <is>
          <t>Medium</t>
        </is>
      </c>
      <c r="J4" s="11" t="n">
        <v>12</v>
      </c>
    </row>
    <row r="5">
      <c r="A5" s="11" t="inlineStr">
        <is>
          <t>Budget Families</t>
        </is>
      </c>
      <c r="B5" s="11" t="inlineStr">
        <is>
          <t>30-50</t>
        </is>
      </c>
      <c r="C5" s="11" t="inlineStr">
        <is>
          <t>60% F / 40% M</t>
        </is>
      </c>
      <c r="D5" s="11" t="inlineStr">
        <is>
          <t>Delta cities, Upper Egypt</t>
        </is>
      </c>
      <c r="E5" s="11" t="inlineStr">
        <is>
          <t>EGP 8,000-18,000</t>
        </is>
      </c>
      <c r="F5" s="11" t="inlineStr">
        <is>
          <t>Value for money, durability</t>
        </is>
      </c>
      <c r="G5" s="11" t="inlineStr">
        <is>
          <t>Facebook, TV, Word of mouth</t>
        </is>
      </c>
      <c r="H5" s="11" t="n">
        <v>1500000</v>
      </c>
      <c r="I5" s="11" t="inlineStr">
        <is>
          <t>Medium</t>
        </is>
      </c>
      <c r="J5" s="11" t="n">
        <v>4.8</v>
      </c>
    </row>
    <row r="6">
      <c r="A6" s="11" t="inlineStr">
        <is>
          <t>Upper Egypt Emerging</t>
        </is>
      </c>
      <c r="B6" s="11" t="inlineStr">
        <is>
          <t>22-40</t>
        </is>
      </c>
      <c r="C6" s="11" t="inlineStr">
        <is>
          <t>65% M / 35% F</t>
        </is>
      </c>
      <c r="D6" s="11" t="inlineStr">
        <is>
          <t>Sohag, Assiut, Minya, Qena</t>
        </is>
      </c>
      <c r="E6" s="11" t="inlineStr">
        <is>
          <t>EGP 6,000-14,000</t>
        </is>
      </c>
      <c r="F6" s="11" t="inlineStr">
        <is>
          <t>Price sensitivity, limited retail access</t>
        </is>
      </c>
      <c r="G6" s="11" t="inlineStr">
        <is>
          <t>Facebook, WhatsApp, local TV</t>
        </is>
      </c>
      <c r="H6" s="11" t="n">
        <v>800000</v>
      </c>
      <c r="I6" s="11" t="inlineStr">
        <is>
          <t>Medium</t>
        </is>
      </c>
      <c r="J6" s="11" t="n">
        <v>3.5</v>
      </c>
    </row>
  </sheetData>
  <conditionalFormatting sqref="J2:J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I2 I3 I4 I5 I6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6" customWidth="1" min="5" max="5"/>
    <col width="45" customWidth="1" min="6" max="6"/>
    <col width="22" customWidth="1" min="7" max="7"/>
    <col width="14" customWidth="1" min="8" max="8"/>
    <col width="14" customWidth="1" min="9" max="9"/>
  </cols>
  <sheetData>
    <row r="1">
      <c r="A1" t="inlineStr">
        <is>
          <t>Channel</t>
        </is>
      </c>
      <c r="B1" t="inlineStr">
        <is>
          <t>Allocation %</t>
        </is>
      </c>
      <c r="C1" t="inlineStr">
        <is>
          <t>Budget (EGP)</t>
        </is>
      </c>
      <c r="D1" t="inlineStr">
        <is>
          <t>Duration (Weeks)</t>
        </is>
      </c>
      <c r="E1" t="inlineStr">
        <is>
          <t>Weekly Spend</t>
        </is>
      </c>
      <c r="F1" t="inlineStr">
        <is>
          <t>KPI</t>
        </is>
      </c>
      <c r="G1" t="inlineStr">
        <is>
          <t>Responsible</t>
        </is>
      </c>
      <c r="H1" t="inlineStr">
        <is>
          <t>Status</t>
        </is>
      </c>
    </row>
    <row r="2">
      <c r="A2" s="11" t="inlineStr">
        <is>
          <t>Social Media Ads (Meta)</t>
        </is>
      </c>
      <c r="B2" s="11" t="n">
        <v>22</v>
      </c>
      <c r="C2" s="11" t="n">
        <v>990000</v>
      </c>
      <c r="D2" s="11" t="n">
        <v>13</v>
      </c>
      <c r="E2" s="11" t="n">
        <v>76154</v>
      </c>
      <c r="F2" s="11" t="inlineStr">
        <is>
          <t>Reach 3M, CTR 2.5%, CPL EGP 12</t>
        </is>
      </c>
      <c r="G2" s="11" t="inlineStr">
        <is>
          <t>Digital Team</t>
        </is>
      </c>
      <c r="H2" s="11" t="inlineStr">
        <is>
          <t>Active</t>
        </is>
      </c>
    </row>
    <row r="3">
      <c r="A3" s="11" t="inlineStr">
        <is>
          <t>TikTok Ads &amp; Influencers</t>
        </is>
      </c>
      <c r="B3" s="11" t="n">
        <v>18</v>
      </c>
      <c r="C3" s="11" t="n">
        <v>810000</v>
      </c>
      <c r="D3" s="11" t="n">
        <v>10</v>
      </c>
      <c r="E3" s="11" t="n">
        <v>81000</v>
      </c>
      <c r="F3" s="11" t="inlineStr">
        <is>
          <t>Reach 2M, Engagement 5%, Video views 500K</t>
        </is>
      </c>
      <c r="G3" s="11" t="inlineStr">
        <is>
          <t>Digital Team</t>
        </is>
      </c>
      <c r="H3" s="11" t="inlineStr">
        <is>
          <t>Active</t>
        </is>
      </c>
    </row>
    <row r="4">
      <c r="A4" s="11" t="inlineStr">
        <is>
          <t>Google Ads (Search + Display)</t>
        </is>
      </c>
      <c r="B4" s="11" t="n">
        <v>12</v>
      </c>
      <c r="C4" s="11" t="n">
        <v>540000</v>
      </c>
      <c r="D4" s="11" t="n">
        <v>13</v>
      </c>
      <c r="E4" s="11" t="n">
        <v>41538</v>
      </c>
      <c r="F4" s="11" t="inlineStr">
        <is>
          <t>Impressions 1.5M, CTR 3%, CPA EGP 45</t>
        </is>
      </c>
      <c r="G4" s="11" t="inlineStr">
        <is>
          <t>Digital Team</t>
        </is>
      </c>
      <c r="H4" s="11" t="inlineStr">
        <is>
          <t>Active</t>
        </is>
      </c>
    </row>
    <row r="5">
      <c r="A5" s="11" t="inlineStr">
        <is>
          <t>YouTube Pre-roll Ads</t>
        </is>
      </c>
      <c r="B5" s="11" t="n">
        <v>10</v>
      </c>
      <c r="C5" s="11" t="n">
        <v>450000</v>
      </c>
      <c r="D5" s="11" t="n">
        <v>8</v>
      </c>
      <c r="E5" s="11" t="n">
        <v>56250</v>
      </c>
      <c r="F5" s="11" t="inlineStr">
        <is>
          <t>Views 800K, VTR 75%, CPV EGP 0.56</t>
        </is>
      </c>
      <c r="G5" s="11" t="inlineStr">
        <is>
          <t>Digital Team</t>
        </is>
      </c>
      <c r="H5" s="11" t="inlineStr">
        <is>
          <t>Active</t>
        </is>
      </c>
    </row>
    <row r="6">
      <c r="A6" s="11" t="inlineStr">
        <is>
          <t>Influencer Marketing</t>
        </is>
      </c>
      <c r="B6" s="11" t="n">
        <v>15</v>
      </c>
      <c r="C6" s="11" t="n">
        <v>675000</v>
      </c>
      <c r="D6" s="11" t="n">
        <v>6</v>
      </c>
      <c r="E6" s="11" t="n">
        <v>112500</v>
      </c>
      <c r="F6" s="11" t="inlineStr">
        <is>
          <t>15 macro + 30 micro influencers, ER 4%</t>
        </is>
      </c>
      <c r="G6" s="11" t="inlineStr">
        <is>
          <t>PR &amp; Influencer Team</t>
        </is>
      </c>
      <c r="H6" s="11" t="inlineStr">
        <is>
          <t>Active</t>
        </is>
      </c>
    </row>
    <row r="7">
      <c r="A7" s="11" t="inlineStr">
        <is>
          <t>Outdoor / OOH (Cairo &amp; Alex)</t>
        </is>
      </c>
      <c r="B7" s="11" t="n">
        <v>8</v>
      </c>
      <c r="C7" s="11" t="n">
        <v>360000</v>
      </c>
      <c r="D7" s="11" t="n">
        <v>8</v>
      </c>
      <c r="E7" s="11" t="n">
        <v>45000</v>
      </c>
      <c r="F7" s="11" t="inlineStr">
        <is>
          <t>15 billboards, 50 bus shelters, 2M impressions</t>
        </is>
      </c>
      <c r="G7" s="11" t="inlineStr">
        <is>
          <t>Media Buying Agency</t>
        </is>
      </c>
      <c r="H7" s="11" t="inlineStr">
        <is>
          <t>Active</t>
        </is>
      </c>
    </row>
    <row r="8">
      <c r="A8" s="11" t="inlineStr">
        <is>
          <t>Radio (Nile FM, Mega FM)</t>
        </is>
      </c>
      <c r="B8" s="11" t="n">
        <v>5</v>
      </c>
      <c r="C8" s="11" t="n">
        <v>225000</v>
      </c>
      <c r="D8" s="11" t="n">
        <v>6</v>
      </c>
      <c r="E8" s="11" t="n">
        <v>37500</v>
      </c>
      <c r="F8" s="11" t="inlineStr">
        <is>
          <t>Spots on 3 stations, reach 500K listeners</t>
        </is>
      </c>
      <c r="G8" s="11" t="inlineStr">
        <is>
          <t>Media Buying Agency</t>
        </is>
      </c>
      <c r="H8" s="11" t="inlineStr">
        <is>
          <t>Active</t>
        </is>
      </c>
    </row>
    <row r="9">
      <c r="A9" s="11" t="inlineStr">
        <is>
          <t>SMS / WhatsApp Marketing</t>
        </is>
      </c>
      <c r="B9" s="11" t="n">
        <v>3</v>
      </c>
      <c r="C9" s="11" t="n">
        <v>135000</v>
      </c>
      <c r="D9" s="11" t="n">
        <v>4</v>
      </c>
      <c r="E9" s="11" t="n">
        <v>33750</v>
      </c>
      <c r="F9" s="11" t="inlineStr">
        <is>
          <t>Send 200K messages, open rate 25%</t>
        </is>
      </c>
      <c r="G9" s="11" t="inlineStr">
        <is>
          <t>CRM Team</t>
        </is>
      </c>
      <c r="H9" s="11" t="inlineStr">
        <is>
          <t>Planned</t>
        </is>
      </c>
    </row>
    <row r="10">
      <c r="A10" s="11" t="inlineStr">
        <is>
          <t>In-Store Promotions</t>
        </is>
      </c>
      <c r="B10" s="11" t="n">
        <v>4</v>
      </c>
      <c r="C10" s="11" t="n">
        <v>180000</v>
      </c>
      <c r="D10" s="11" t="n">
        <v>4</v>
      </c>
      <c r="E10" s="11" t="n">
        <v>45000</v>
      </c>
      <c r="F10" s="11" t="inlineStr">
        <is>
          <t>100 partner stores, display + promo materials</t>
        </is>
      </c>
      <c r="G10" s="11" t="inlineStr">
        <is>
          <t>Sales Team</t>
        </is>
      </c>
      <c r="H10" s="11" t="inlineStr">
        <is>
          <t>Active</t>
        </is>
      </c>
    </row>
    <row r="11">
      <c r="A11" s="11" t="inlineStr">
        <is>
          <t>PR &amp; Media Relations</t>
        </is>
      </c>
      <c r="B11" s="11" t="n">
        <v>2</v>
      </c>
      <c r="C11" s="11" t="n">
        <v>90000</v>
      </c>
      <c r="D11" s="11" t="n">
        <v>13</v>
      </c>
      <c r="E11" s="11" t="n">
        <v>6923</v>
      </c>
      <c r="F11" s="11" t="inlineStr">
        <is>
          <t>10 press releases, 5 TV interviews</t>
        </is>
      </c>
      <c r="G11" s="11" t="inlineStr">
        <is>
          <t>PR Team</t>
        </is>
      </c>
      <c r="H11" s="11" t="inlineStr">
        <is>
          <t>Active</t>
        </is>
      </c>
    </row>
    <row r="12">
      <c r="A12" s="11" t="inlineStr">
        <is>
          <t>Content Creation</t>
        </is>
      </c>
      <c r="B12" s="11" t="n">
        <v>3</v>
      </c>
      <c r="C12" s="11" t="n">
        <v>135000</v>
      </c>
      <c r="D12" s="11" t="n">
        <v>13</v>
      </c>
      <c r="E12" s="11" t="n">
        <v>10385</v>
      </c>
      <c r="F12" s="11" t="inlineStr">
        <is>
          <t>50 posts, 20 videos, 10 blog articles</t>
        </is>
      </c>
      <c r="G12" s="11" t="inlineStr">
        <is>
          <t>Content Team</t>
        </is>
      </c>
      <c r="H12" s="11" t="inlineStr">
        <is>
          <t>Active</t>
        </is>
      </c>
    </row>
    <row r="13">
      <c r="A13" s="11" t="inlineStr">
        <is>
          <t>Contingency (10%)</t>
        </is>
      </c>
      <c r="B13" s="11" t="n">
        <v>10</v>
      </c>
      <c r="C13" s="11" t="n">
        <v>450000</v>
      </c>
      <c r="D13" s="11" t="n">
        <v>13</v>
      </c>
      <c r="E13" s="11" t="n">
        <v>34615</v>
      </c>
      <c r="F13" s="11" t="inlineStr">
        <is>
          <t>Buffer for optimization &amp; opportunities</t>
        </is>
      </c>
      <c r="G13" s="11" t="inlineStr">
        <is>
          <t>Campaign Manager</t>
        </is>
      </c>
      <c r="H13" s="11" t="inlineStr">
        <is>
          <t>Reserved</t>
        </is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 t="inlineStr"/>
      <c r="E14" s="12">
        <f>SUM(E2:E13)</f>
        <v/>
      </c>
      <c r="F14" s="12" t="inlineStr"/>
      <c r="G14" s="12" t="inlineStr"/>
      <c r="H14" s="12" t="inlineStr"/>
      <c r="I14" s="12" t="n"/>
    </row>
  </sheetData>
  <conditionalFormatting sqref="C2:C13">
    <cfRule type="dataBar" priority="1">
      <dataBar showValue="1">
        <cfvo type="num" val="0"/>
        <cfvo type="max"/>
        <color rgb="004472C4"/>
      </dataBar>
    </cfRule>
  </conditionalFormatting>
  <dataValidations count="1">
    <dataValidation sqref="I2 I3 I4 I5 I6 I7 I8 I9 I10 I11 I12 I13" showDropDown="0" showInputMessage="0" showErrorMessage="0" allowBlank="1" type="list">
      <formula1>"Active,Planned,Paused,Completed,Reserved"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  <col width="45" customWidth="1" min="7" max="7"/>
    <col width="14" customWidth="1" min="8" max="8"/>
  </cols>
  <sheetData>
    <row r="1">
      <c r="A1" t="inlineStr">
        <is>
          <t>Phase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 (Days)</t>
        </is>
      </c>
      <c r="E1" t="inlineStr">
        <is>
          <t>Progress %</t>
        </is>
      </c>
      <c r="F1" t="inlineStr">
        <is>
          <t>Key Activities</t>
        </is>
      </c>
      <c r="G1" t="inlineStr">
        <is>
          <t>Deliverables</t>
        </is>
      </c>
      <c r="H1" t="inlineStr">
        <is>
          <t>Status</t>
        </is>
      </c>
    </row>
    <row r="2">
      <c r="A2" s="13" t="inlineStr">
        <is>
          <t>Phase 1: Planning &amp; Setup</t>
        </is>
      </c>
      <c r="B2" s="13" t="inlineStr">
        <is>
          <t>2026-05-01</t>
        </is>
      </c>
      <c r="C2" s="13" t="inlineStr">
        <is>
          <t>2026-05-20</t>
        </is>
      </c>
      <c r="D2" s="13" t="n">
        <v>20</v>
      </c>
      <c r="E2" s="13" t="n">
        <v>100</v>
      </c>
      <c r="F2" s="13" t="inlineStr">
        <is>
          <t>Market research, creative brief, media plan, influencer outreach, asset production</t>
        </is>
      </c>
      <c r="G2" s="13" t="inlineStr">
        <is>
          <t>Media plan, creative assets, influencer contracts, campaign playbook</t>
        </is>
      </c>
      <c r="H2" s="13" t="inlineStr">
        <is>
          <t>Completed</t>
        </is>
      </c>
    </row>
    <row r="3">
      <c r="A3" s="13" t="inlineStr">
        <is>
          <t>Phase 2: Pre-Launch (Teaser)</t>
        </is>
      </c>
      <c r="B3" s="13" t="inlineStr">
        <is>
          <t>2026-05-20</t>
        </is>
      </c>
      <c r="C3" s="13" t="inlineStr">
        <is>
          <t>2026-06-01</t>
        </is>
      </c>
      <c r="D3" s="13" t="n">
        <v>12</v>
      </c>
      <c r="E3" s="13" t="n">
        <v>100</v>
      </c>
      <c r="F3" s="13" t="inlineStr">
        <is>
          <t>Social teasers, influencer seeding, landing page launch, PR groundwork</t>
        </is>
      </c>
      <c r="G3" s="13" t="inlineStr">
        <is>
          <t>Teaser videos, landing page, press kit, influencer unboxing content</t>
        </is>
      </c>
      <c r="H3" s="13" t="inlineStr">
        <is>
          <t>Completed</t>
        </is>
      </c>
    </row>
    <row r="4">
      <c r="A4" s="13" t="inlineStr">
        <is>
          <t>Phase 3: Launch &amp; Awareness</t>
        </is>
      </c>
      <c r="B4" s="13" t="inlineStr">
        <is>
          <t>2026-06-01</t>
        </is>
      </c>
      <c r="C4" s="13" t="inlineStr">
        <is>
          <t>2026-06-30</t>
        </is>
      </c>
      <c r="D4" s="13" t="n">
        <v>30</v>
      </c>
      <c r="E4" s="13" t="n">
        <v>85</v>
      </c>
      <c r="F4" s="13" t="inlineStr">
        <is>
          <t>Full channel activation, OOH go-live, radio spots, launch event Cairo</t>
        </is>
      </c>
      <c r="G4" s="13" t="inlineStr">
        <is>
          <t>Live campaign across all channels, event coverage, daily monitoring dashboard</t>
        </is>
      </c>
      <c r="H4" s="13" t="inlineStr">
        <is>
          <t>In Progress</t>
        </is>
      </c>
    </row>
    <row r="5">
      <c r="A5" s="13" t="inlineStr">
        <is>
          <t>Phase 4: Engagement &amp; Conversion</t>
        </is>
      </c>
      <c r="B5" s="13" t="inlineStr">
        <is>
          <t>2026-06-15</t>
        </is>
      </c>
      <c r="C5" s="13" t="inlineStr">
        <is>
          <t>2026-07-31</t>
        </is>
      </c>
      <c r="D5" s="13" t="n">
        <v>47</v>
      </c>
      <c r="E5" s="13" t="n">
        <v>60</v>
      </c>
      <c r="F5" s="13" t="inlineStr">
        <is>
          <t>Retargeting campaigns, flash sales, UGC contest, mid-campaign review</t>
        </is>
      </c>
      <c r="G5" s="13" t="inlineStr">
        <is>
          <t>Retargeting ads, sale microsite, UGC gallery, mid-campaign report</t>
        </is>
      </c>
      <c r="H5" s="13" t="inlineStr">
        <is>
          <t>In Progress</t>
        </is>
      </c>
    </row>
    <row r="6">
      <c r="A6" s="13" t="inlineStr">
        <is>
          <t>Phase 5: Optimization</t>
        </is>
      </c>
      <c r="B6" s="13" t="inlineStr">
        <is>
          <t>2026-07-15</t>
        </is>
      </c>
      <c r="C6" s="13" t="inlineStr">
        <is>
          <t>2026-08-20</t>
        </is>
      </c>
      <c r="D6" s="13" t="n">
        <v>37</v>
      </c>
      <c r="E6" s="13" t="n">
        <v>0</v>
      </c>
      <c r="F6" s="13" t="inlineStr">
        <is>
          <t>A/B testing, budget reallocation, underperforming channel cuts, new creative</t>
        </is>
      </c>
      <c r="G6" s="13" t="inlineStr">
        <is>
          <t>Optimized creatives, revised budget sheet, performance memo</t>
        </is>
      </c>
      <c r="H6" s="13" t="inlineStr">
        <is>
          <t>Pending</t>
        </is>
      </c>
    </row>
    <row r="7">
      <c r="A7" s="13" t="inlineStr">
        <is>
          <t>Phase 6: Wrap-up &amp; Evaluation</t>
        </is>
      </c>
      <c r="B7" s="13" t="inlineStr">
        <is>
          <t>2026-08-20</t>
        </is>
      </c>
      <c r="C7" s="13" t="inlineStr">
        <is>
          <t>2026-09-10</t>
        </is>
      </c>
      <c r="D7" s="13" t="n">
        <v>22</v>
      </c>
      <c r="E7" s="13" t="n">
        <v>0</v>
      </c>
      <c r="F7" s="13" t="inlineStr">
        <is>
          <t>Final reporting, ROI analysis, stakeholder presentation, lessons learned</t>
        </is>
      </c>
      <c r="G7" s="13" t="inlineStr">
        <is>
          <t>Final campaign report, ROI deck, recommendation document</t>
        </is>
      </c>
      <c r="H7" s="13" t="inlineStr">
        <is>
          <t>Pending</t>
        </is>
      </c>
    </row>
  </sheetData>
  <conditionalFormatting sqref="E2:E7">
    <cfRule type="dataBar" priority="1">
      <dataBar showValue="1">
        <cfvo type="num" val="0"/>
        <cfvo type="num" val="100"/>
        <color rgb="00ED7D31"/>
      </dataBar>
    </cfRule>
  </conditionalFormatting>
  <dataValidations count="1">
    <dataValidation sqref="H2 H3 H4 H5 H6 H7" showDropDown="0" showInputMessage="0" showErrorMessage="0" allowBlank="1" type="list">
      <formula1>"Completed,In Progress,Pending,Delayed,Cancelled"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8" customWidth="1" min="4" max="4"/>
    <col width="14" customWidth="1" min="5" max="5"/>
    <col width="14" customWidth="1" min="6" max="6"/>
    <col width="45" customWidth="1" min="7" max="7"/>
  </cols>
  <sheetData>
    <row r="1">
      <c r="A1" t="inlineStr">
        <is>
          <t>Metric Category</t>
        </is>
      </c>
      <c r="B1" t="inlineStr">
        <is>
          <t>Specific Metric</t>
        </is>
      </c>
      <c r="C1" t="inlineStr">
        <is>
          <t>Target</t>
        </is>
      </c>
      <c r="D1" t="inlineStr">
        <is>
          <t>Actual (YTD)</t>
        </is>
      </c>
      <c r="E1" t="inlineStr">
        <is>
          <t>Variance %</t>
        </is>
      </c>
      <c r="F1" t="inlineStr">
        <is>
          <t>Status</t>
        </is>
      </c>
      <c r="G1" t="inlineStr">
        <is>
          <t>Action Required</t>
        </is>
      </c>
    </row>
    <row r="2">
      <c r="A2" s="13" t="inlineStr">
        <is>
          <t>Awareness</t>
        </is>
      </c>
      <c r="B2" s="13" t="inlineStr">
        <is>
          <t>Brand Awareness (aided)</t>
        </is>
      </c>
      <c r="C2" s="13" t="n">
        <v>45</v>
      </c>
      <c r="D2" s="13" t="n">
        <v>32</v>
      </c>
      <c r="E2" s="13" t="n">
        <v>-28.9</v>
      </c>
      <c r="F2" s="14" t="inlineStr">
        <is>
          <t>Behind</t>
        </is>
      </c>
      <c r="G2" s="13" t="inlineStr">
        <is>
          <t>Increase OOH &amp; radio spend in Delta region</t>
        </is>
      </c>
    </row>
    <row r="3">
      <c r="A3" s="13" t="inlineStr">
        <is>
          <t>Awareness</t>
        </is>
      </c>
      <c r="B3" s="13" t="inlineStr">
        <is>
          <t>Reach (unique users)</t>
        </is>
      </c>
      <c r="C3" s="13" t="n">
        <v>5000000</v>
      </c>
      <c r="D3" s="13" t="n">
        <v>3200000</v>
      </c>
      <c r="E3" s="13" t="n">
        <v>-36</v>
      </c>
      <c r="F3" s="14" t="inlineStr">
        <is>
          <t>Behind</t>
        </is>
      </c>
      <c r="G3" s="13" t="inlineStr">
        <is>
          <t>Boost TikTok &amp; Meta budgets by 15%</t>
        </is>
      </c>
    </row>
    <row r="4">
      <c r="A4" s="13" t="inlineStr">
        <is>
          <t>Awareness</t>
        </is>
      </c>
      <c r="B4" s="13" t="inlineStr">
        <is>
          <t>Impressions</t>
        </is>
      </c>
      <c r="C4" s="13" t="n">
        <v>25000000</v>
      </c>
      <c r="D4" s="13" t="n">
        <v>16500000</v>
      </c>
      <c r="E4" s="13" t="n">
        <v>-34</v>
      </c>
      <c r="F4" s="14" t="inlineStr">
        <is>
          <t>Behind</t>
        </is>
      </c>
      <c r="G4" s="13" t="inlineStr">
        <is>
          <t>Add programmatic display campaign</t>
        </is>
      </c>
    </row>
    <row r="5">
      <c r="A5" s="13" t="inlineStr">
        <is>
          <t>Awareness</t>
        </is>
      </c>
      <c r="B5" s="13" t="inlineStr">
        <is>
          <t>Share of Voice</t>
        </is>
      </c>
      <c r="C5" s="13" t="n">
        <v>15</v>
      </c>
      <c r="D5" s="13" t="n">
        <v>11</v>
      </c>
      <c r="E5" s="13" t="n">
        <v>-26.7</v>
      </c>
      <c r="F5" s="14" t="inlineStr">
        <is>
          <t>Behind</t>
        </is>
      </c>
      <c r="G5" s="13" t="inlineStr">
        <is>
          <t>Launch competitive response campaign</t>
        </is>
      </c>
    </row>
    <row r="6">
      <c r="A6" s="13" t="inlineStr">
        <is>
          <t>Engagement</t>
        </is>
      </c>
      <c r="B6" s="13" t="inlineStr">
        <is>
          <t>Engagement Rate</t>
        </is>
      </c>
      <c r="C6" s="13" t="n">
        <v>4.5</v>
      </c>
      <c r="D6" s="13" t="n">
        <v>3.8</v>
      </c>
      <c r="E6" s="13" t="n">
        <v>-15.6</v>
      </c>
      <c r="F6" s="14" t="inlineStr">
        <is>
          <t>Behind</t>
        </is>
      </c>
      <c r="G6" s="13" t="inlineStr">
        <is>
          <t>Refresh creative with local influencers</t>
        </is>
      </c>
    </row>
    <row r="7">
      <c r="A7" s="13" t="inlineStr">
        <is>
          <t>Engagement</t>
        </is>
      </c>
      <c r="B7" s="13" t="inlineStr">
        <is>
          <t>Video Completion Rate</t>
        </is>
      </c>
      <c r="C7" s="13" t="n">
        <v>70</v>
      </c>
      <c r="D7" s="13" t="n">
        <v>62</v>
      </c>
      <c r="E7" s="13" t="n">
        <v>-11.4</v>
      </c>
      <c r="F7" s="14" t="inlineStr">
        <is>
          <t>Behind</t>
        </is>
      </c>
      <c r="G7" s="13" t="inlineStr">
        <is>
          <t>Shorten video length to 15s format</t>
        </is>
      </c>
    </row>
    <row r="8">
      <c r="A8" s="13" t="inlineStr">
        <is>
          <t>Engagement</t>
        </is>
      </c>
      <c r="B8" s="13" t="inlineStr">
        <is>
          <t>Social Shares</t>
        </is>
      </c>
      <c r="C8" s="13" t="n">
        <v>50000</v>
      </c>
      <c r="D8" s="13" t="n">
        <v>28400</v>
      </c>
      <c r="E8" s="13" t="n">
        <v>-43.2</v>
      </c>
      <c r="F8" s="14" t="inlineStr">
        <is>
          <t>Behind</t>
        </is>
      </c>
      <c r="G8" s="13" t="inlineStr">
        <is>
          <t>Launch share-to-win contest</t>
        </is>
      </c>
    </row>
    <row r="9">
      <c r="A9" s="13" t="inlineStr">
        <is>
          <t>Engagement</t>
        </is>
      </c>
      <c r="B9" s="13" t="inlineStr">
        <is>
          <t>UGC Submissions</t>
        </is>
      </c>
      <c r="C9" s="13" t="n">
        <v>2000</v>
      </c>
      <c r="D9" s="13" t="n">
        <v>1150</v>
      </c>
      <c r="E9" s="13" t="n">
        <v>-42.5</v>
      </c>
      <c r="F9" s="14" t="inlineStr">
        <is>
          <t>Behind</t>
        </is>
      </c>
      <c r="G9" s="13" t="inlineStr">
        <is>
          <t>Simplify UGC submission process</t>
        </is>
      </c>
    </row>
    <row r="10">
      <c r="A10" s="13" t="inlineStr">
        <is>
          <t>Conversion</t>
        </is>
      </c>
      <c r="B10" s="13" t="inlineStr">
        <is>
          <t>Click-Through Rate (CTR)</t>
        </is>
      </c>
      <c r="C10" s="13" t="n">
        <v>2.8</v>
      </c>
      <c r="D10" s="13" t="n">
        <v>2.4</v>
      </c>
      <c r="E10" s="13" t="n">
        <v>-14.3</v>
      </c>
      <c r="F10" s="14" t="inlineStr">
        <is>
          <t>Behind</t>
        </is>
      </c>
      <c r="G10" s="13" t="inlineStr">
        <is>
          <t>A/B test new CTA copy &amp; visuals</t>
        </is>
      </c>
    </row>
    <row r="11">
      <c r="A11" s="13" t="inlineStr">
        <is>
          <t>Conversion</t>
        </is>
      </c>
      <c r="B11" s="13" t="inlineStr">
        <is>
          <t>Cost Per Lead (CPL)</t>
        </is>
      </c>
      <c r="C11" s="13" t="n">
        <v>35</v>
      </c>
      <c r="D11" s="13" t="n">
        <v>42</v>
      </c>
      <c r="E11" s="13" t="n">
        <v>20</v>
      </c>
      <c r="F11" s="14" t="inlineStr">
        <is>
          <t>Behind</t>
        </is>
      </c>
      <c r="G11" s="13" t="inlineStr">
        <is>
          <t>Optimize landing page load speed</t>
        </is>
      </c>
    </row>
    <row r="12">
      <c r="A12" s="13" t="inlineStr">
        <is>
          <t>Conversion</t>
        </is>
      </c>
      <c r="B12" s="13" t="inlineStr">
        <is>
          <t>Conversion Rate</t>
        </is>
      </c>
      <c r="C12" s="13" t="n">
        <v>3.5</v>
      </c>
      <c r="D12" s="13" t="n">
        <v>2.9</v>
      </c>
      <c r="E12" s="13" t="n">
        <v>-17.1</v>
      </c>
      <c r="F12" s="14" t="inlineStr">
        <is>
          <t>Behind</t>
        </is>
      </c>
      <c r="G12" s="13" t="inlineStr">
        <is>
          <t>Add retargeting for cart abandoners</t>
        </is>
      </c>
    </row>
    <row r="13">
      <c r="A13" s="13" t="inlineStr">
        <is>
          <t>Conversion</t>
        </is>
      </c>
      <c r="B13" s="13" t="inlineStr">
        <is>
          <t>Sales Volume (units)</t>
        </is>
      </c>
      <c r="C13" s="13" t="n">
        <v>12500</v>
      </c>
      <c r="D13" s="13" t="n">
        <v>8200</v>
      </c>
      <c r="E13" s="13" t="n">
        <v>-34.4</v>
      </c>
      <c r="F13" s="14" t="inlineStr">
        <is>
          <t>Behind</t>
        </is>
      </c>
      <c r="G13" s="13" t="inlineStr">
        <is>
          <t>Extend in-store promo to Upper Egypt</t>
        </is>
      </c>
    </row>
    <row r="14">
      <c r="A14" s="13" t="inlineStr">
        <is>
          <t>Retention</t>
        </is>
      </c>
      <c r="B14" s="13" t="inlineStr">
        <is>
          <t>Customer Satisfaction (CSAT)</t>
        </is>
      </c>
      <c r="C14" s="13" t="n">
        <v>4.2</v>
      </c>
      <c r="D14" s="13" t="n">
        <v>4</v>
      </c>
      <c r="E14" s="13" t="n">
        <v>-4.8</v>
      </c>
      <c r="F14" s="15" t="inlineStr">
        <is>
          <t>On Track</t>
        </is>
      </c>
      <c r="G14" s="13" t="inlineStr">
        <is>
          <t>Maintain current support strategy</t>
        </is>
      </c>
    </row>
    <row r="15">
      <c r="A15" s="13" t="inlineStr">
        <is>
          <t>Retention</t>
        </is>
      </c>
      <c r="B15" s="13" t="inlineStr">
        <is>
          <t>Repeat Purchase Rate</t>
        </is>
      </c>
      <c r="C15" s="13" t="n">
        <v>18</v>
      </c>
      <c r="D15" s="13" t="n">
        <v>14</v>
      </c>
      <c r="E15" s="13" t="n">
        <v>-22.2</v>
      </c>
      <c r="F15" s="14" t="inlineStr">
        <is>
          <t>Behind</t>
        </is>
      </c>
      <c r="G15" s="13" t="inlineStr">
        <is>
          <t>Introduce loyalty program teaser</t>
        </is>
      </c>
    </row>
    <row r="16">
      <c r="A16" s="13" t="inlineStr">
        <is>
          <t>Retention</t>
        </is>
      </c>
      <c r="B16" s="13" t="inlineStr">
        <is>
          <t>Net Promoter Score (NPS)</t>
        </is>
      </c>
      <c r="C16" s="13" t="n">
        <v>35</v>
      </c>
      <c r="D16" s="13" t="n">
        <v>28</v>
      </c>
      <c r="E16" s="13" t="n">
        <v>-20</v>
      </c>
      <c r="F16" s="14" t="inlineStr">
        <is>
          <t>Behind</t>
        </is>
      </c>
      <c r="G16" s="13" t="inlineStr">
        <is>
          <t>Send NPS follow-up to detractors</t>
        </is>
      </c>
    </row>
    <row r="17">
      <c r="A17" s="13" t="inlineStr">
        <is>
          <t>Financial</t>
        </is>
      </c>
      <c r="B17" s="13" t="inlineStr">
        <is>
          <t>Cost Per Acquisition (CPA)</t>
        </is>
      </c>
      <c r="C17" s="13" t="n">
        <v>120</v>
      </c>
      <c r="D17" s="13" t="n">
        <v>135</v>
      </c>
      <c r="E17" s="13" t="n">
        <v>12.5</v>
      </c>
      <c r="F17" s="14" t="inlineStr">
        <is>
          <t>Behind</t>
        </is>
      </c>
      <c r="G17" s="13" t="inlineStr">
        <is>
          <t>Pause low-performing radio spots</t>
        </is>
      </c>
    </row>
    <row r="18">
      <c r="A18" s="13" t="inlineStr">
        <is>
          <t>Financial</t>
        </is>
      </c>
      <c r="B18" s="13" t="inlineStr">
        <is>
          <t>Return on Ad Spend (ROAS)</t>
        </is>
      </c>
      <c r="C18" s="13" t="n">
        <v>4</v>
      </c>
      <c r="D18" s="13" t="n">
        <v>3.2</v>
      </c>
      <c r="E18" s="13" t="n">
        <v>-20</v>
      </c>
      <c r="F18" s="14" t="inlineStr">
        <is>
          <t>Behind</t>
        </is>
      </c>
      <c r="G18" s="13" t="inlineStr">
        <is>
          <t>Shift budget to high-ROAS channels</t>
        </is>
      </c>
    </row>
    <row r="19">
      <c r="A19" s="13" t="inlineStr">
        <is>
          <t>Financial</t>
        </is>
      </c>
      <c r="B19" s="13" t="inlineStr">
        <is>
          <t>Total Revenue</t>
        </is>
      </c>
      <c r="C19" s="13" t="n">
        <v>18000000</v>
      </c>
      <c r="D19" s="13" t="n">
        <v>11800000</v>
      </c>
      <c r="E19" s="13" t="n">
        <v>-34.4</v>
      </c>
      <c r="F19" s="14" t="inlineStr">
        <is>
          <t>Behind</t>
        </is>
      </c>
      <c r="G19" s="13" t="inlineStr">
        <is>
          <t>Push flash sale to close gap</t>
        </is>
      </c>
    </row>
    <row r="20">
      <c r="A20" s="13" t="inlineStr">
        <is>
          <t>Financial</t>
        </is>
      </c>
      <c r="B20" s="13" t="inlineStr">
        <is>
          <t>Campaign ROI</t>
        </is>
      </c>
      <c r="C20" s="13" t="n">
        <v>300</v>
      </c>
      <c r="D20" s="13" t="n">
        <v>162</v>
      </c>
      <c r="E20" s="13" t="n">
        <v>-46</v>
      </c>
      <c r="F20" s="14" t="inlineStr">
        <is>
          <t>Behind</t>
        </is>
      </c>
      <c r="G20" s="13" t="inlineStr">
        <is>
          <t>Aggressive optimization needed</t>
        </is>
      </c>
    </row>
  </sheetData>
  <conditionalFormatting sqref="E2:E20">
    <cfRule type="iconSet" priority="1">
      <iconSet iconSet="3TrafficLights1" showValue="1" percent="1">
        <cfvo type="num" val="0"/>
        <cfvo type="num" val="0"/>
        <cfvo type="num" val="0"/>
      </iconSet>
    </cfRule>
  </conditionalFormatting>
  <dataValidations count="1">
    <dataValidation sqref="F2 F3 F4 F5 F6 F7 F8 F9 F10 F11 F12 F13 F14 F15 F16 F17 F18 F19 F20" showDropDown="0" showInputMessage="0" showErrorMessage="0" allowBlank="1" type="list">
      <formula1>"Behind,On Track,Ahead,At Risk"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20" customWidth="1" min="8" max="8"/>
    <col width="14" customWidth="1" min="9" max="9"/>
  </cols>
  <sheetData>
    <row r="1">
      <c r="A1" t="inlineStr">
        <is>
          <t>Week</t>
        </is>
      </c>
      <c r="B1" t="inlineStr">
        <is>
          <t>Theme</t>
        </is>
      </c>
      <c r="C1" t="inlineStr">
        <is>
          <t>Primary Channel</t>
        </is>
      </c>
      <c r="D1" t="inlineStr">
        <is>
          <t>Content Type</t>
        </is>
      </c>
      <c r="E1" t="inlineStr">
        <is>
          <t>Budget (EGP)</t>
        </is>
      </c>
      <c r="F1" t="inlineStr">
        <is>
          <t>Expected Reach</t>
        </is>
      </c>
      <c r="G1" t="inlineStr">
        <is>
          <t>Expected Engagement</t>
        </is>
      </c>
      <c r="H1" t="inlineStr">
        <is>
          <t>Owner</t>
        </is>
      </c>
      <c r="I1" t="inlineStr">
        <is>
          <t>Status</t>
        </is>
      </c>
    </row>
    <row r="2">
      <c r="A2" s="13" t="inlineStr">
        <is>
          <t>Week 1</t>
        </is>
      </c>
      <c r="B2" s="13" t="inlineStr">
        <is>
          <t>Teaser: Something Big is Coming</t>
        </is>
      </c>
      <c r="C2" s="13" t="inlineStr">
        <is>
          <t>Instagram, TikTok</t>
        </is>
      </c>
      <c r="D2" s="13" t="inlineStr">
        <is>
          <t>Motion graphic</t>
        </is>
      </c>
      <c r="E2" s="13" t="n">
        <v>45000</v>
      </c>
      <c r="F2" s="13" t="n">
        <v>150000</v>
      </c>
      <c r="G2" s="13" t="n">
        <v>4500</v>
      </c>
      <c r="H2" s="13" t="inlineStr">
        <is>
          <t>Content Team</t>
        </is>
      </c>
      <c r="I2" s="15" t="inlineStr">
        <is>
          <t>Completed</t>
        </is>
      </c>
    </row>
    <row r="3">
      <c r="A3" s="13" t="inlineStr">
        <is>
          <t>Week 2</t>
        </is>
      </c>
      <c r="B3" s="13" t="inlineStr">
        <is>
          <t>Teaser: Countdown to Summer</t>
        </is>
      </c>
      <c r="C3" s="13" t="inlineStr">
        <is>
          <t>TikTok, YouTube</t>
        </is>
      </c>
      <c r="D3" s="13" t="inlineStr">
        <is>
          <t>Short-form video</t>
        </is>
      </c>
      <c r="E3" s="13" t="n">
        <v>55000</v>
      </c>
      <c r="F3" s="13" t="n">
        <v>200000</v>
      </c>
      <c r="G3" s="13" t="n">
        <v>8000</v>
      </c>
      <c r="H3" s="13" t="inlineStr">
        <is>
          <t>Content Team</t>
        </is>
      </c>
      <c r="I3" s="15" t="inlineStr">
        <is>
          <t>Completed</t>
        </is>
      </c>
    </row>
    <row r="4">
      <c r="A4" s="13" t="inlineStr">
        <is>
          <t>Week 3</t>
        </is>
      </c>
      <c r="B4" s="13" t="inlineStr">
        <is>
          <t>Launch: Meet NileTech</t>
        </is>
      </c>
      <c r="C4" s="13" t="inlineStr">
        <is>
          <t>All Channels</t>
        </is>
      </c>
      <c r="D4" s="13" t="inlineStr">
        <is>
          <t>Launch video + OOH</t>
        </is>
      </c>
      <c r="E4" s="13" t="n">
        <v>180000</v>
      </c>
      <c r="F4" s="13" t="n">
        <v>800000</v>
      </c>
      <c r="G4" s="13" t="n">
        <v>32000</v>
      </c>
      <c r="H4" s="13" t="inlineStr">
        <is>
          <t>All Teams</t>
        </is>
      </c>
      <c r="I4" s="15" t="inlineStr">
        <is>
          <t>Completed</t>
        </is>
      </c>
    </row>
    <row r="5">
      <c r="A5" s="13" t="inlineStr">
        <is>
          <t>Week 4</t>
        </is>
      </c>
      <c r="B5" s="13" t="inlineStr">
        <is>
          <t>Product Spotlight: Power Banks</t>
        </is>
      </c>
      <c r="C5" s="13" t="inlineStr">
        <is>
          <t>Meta, Google</t>
        </is>
      </c>
      <c r="D5" s="13" t="inlineStr">
        <is>
          <t>Carousel + blog</t>
        </is>
      </c>
      <c r="E5" s="13" t="n">
        <v>65000</v>
      </c>
      <c r="F5" s="13" t="n">
        <v>250000</v>
      </c>
      <c r="G5" s="13" t="n">
        <v>8750</v>
      </c>
      <c r="H5" s="13" t="inlineStr">
        <is>
          <t>Digital Team</t>
        </is>
      </c>
      <c r="I5" s="15" t="inlineStr">
        <is>
          <t>Completed</t>
        </is>
      </c>
    </row>
    <row r="6">
      <c r="A6" s="13" t="inlineStr">
        <is>
          <t>Week 5</t>
        </is>
      </c>
      <c r="B6" s="13" t="inlineStr">
        <is>
          <t>Influencer Takeover: Ahmed El-Sayed</t>
        </is>
      </c>
      <c r="C6" s="13" t="inlineStr">
        <is>
          <t>TikTok, Instagram</t>
        </is>
      </c>
      <c r="D6" s="13" t="inlineStr">
        <is>
          <t>Live stream + reels</t>
        </is>
      </c>
      <c r="E6" s="13" t="n">
        <v>85000</v>
      </c>
      <c r="F6" s="13" t="n">
        <v>350000</v>
      </c>
      <c r="G6" s="13" t="n">
        <v>17500</v>
      </c>
      <c r="H6" s="13" t="inlineStr">
        <is>
          <t>Influencer Team</t>
        </is>
      </c>
      <c r="I6" s="15" t="inlineStr">
        <is>
          <t>Completed</t>
        </is>
      </c>
    </row>
    <row r="7">
      <c r="A7" s="13" t="inlineStr">
        <is>
          <t>Week 6</t>
        </is>
      </c>
      <c r="B7" s="13" t="inlineStr">
        <is>
          <t>User Stories: Real Reviews</t>
        </is>
      </c>
      <c r="C7" s="13" t="inlineStr">
        <is>
          <t>Meta, YouTube</t>
        </is>
      </c>
      <c r="D7" s="13" t="inlineStr">
        <is>
          <t>Testimonial video</t>
        </is>
      </c>
      <c r="E7" s="13" t="n">
        <v>40000</v>
      </c>
      <c r="F7" s="13" t="n">
        <v>180000</v>
      </c>
      <c r="G7" s="13" t="n">
        <v>7200</v>
      </c>
      <c r="H7" s="13" t="inlineStr">
        <is>
          <t>Content Team</t>
        </is>
      </c>
      <c r="I7" s="16" t="inlineStr">
        <is>
          <t>Active</t>
        </is>
      </c>
    </row>
    <row r="8">
      <c r="A8" s="13" t="inlineStr">
        <is>
          <t>Week 7</t>
        </is>
      </c>
      <c r="B8" s="13" t="inlineStr">
        <is>
          <t>Mid-Campaign Sale: 20% Off</t>
        </is>
      </c>
      <c r="C8" s="13" t="inlineStr">
        <is>
          <t>All Digital</t>
        </is>
      </c>
      <c r="D8" s="13" t="inlineStr">
        <is>
          <t>Display + SMS</t>
        </is>
      </c>
      <c r="E8" s="13" t="n">
        <v>120000</v>
      </c>
      <c r="F8" s="13" t="n">
        <v>500000</v>
      </c>
      <c r="G8" s="13" t="n">
        <v>25000</v>
      </c>
      <c r="H8" s="13" t="inlineStr">
        <is>
          <t>Digital Team</t>
        </is>
      </c>
      <c r="I8" s="16" t="inlineStr">
        <is>
          <t>Active</t>
        </is>
      </c>
    </row>
    <row r="9">
      <c r="A9" s="13" t="inlineStr">
        <is>
          <t>Week 8</t>
        </is>
      </c>
      <c r="B9" s="13" t="inlineStr">
        <is>
          <t>Behind the Scenes: Factory Tour</t>
        </is>
      </c>
      <c r="C9" s="13" t="inlineStr">
        <is>
          <t>YouTube, Instagram</t>
        </is>
      </c>
      <c r="D9" s="13" t="inlineStr">
        <is>
          <t>Documentary style</t>
        </is>
      </c>
      <c r="E9" s="13" t="n">
        <v>50000</v>
      </c>
      <c r="F9" s="13" t="n">
        <v>220000</v>
      </c>
      <c r="G9" s="13" t="n">
        <v>8800</v>
      </c>
      <c r="H9" s="13" t="inlineStr">
        <is>
          <t>Content Team</t>
        </is>
      </c>
      <c r="I9" s="17" t="inlineStr">
        <is>
          <t>Planned</t>
        </is>
      </c>
    </row>
    <row r="10">
      <c r="A10" s="13" t="inlineStr">
        <is>
          <t>Week 9</t>
        </is>
      </c>
      <c r="B10" s="13" t="inlineStr">
        <is>
          <t>Product Spotlight: Wireless Earbuds</t>
        </is>
      </c>
      <c r="C10" s="13" t="inlineStr">
        <is>
          <t>Meta, Google</t>
        </is>
      </c>
      <c r="D10" s="13" t="inlineStr">
        <is>
          <t>Product demo</t>
        </is>
      </c>
      <c r="E10" s="13" t="n">
        <v>70000</v>
      </c>
      <c r="F10" s="13" t="n">
        <v>300000</v>
      </c>
      <c r="G10" s="13" t="n">
        <v>13500</v>
      </c>
      <c r="H10" s="13" t="inlineStr">
        <is>
          <t>Digital Team</t>
        </is>
      </c>
      <c r="I10" s="17" t="inlineStr">
        <is>
          <t>Planned</t>
        </is>
      </c>
    </row>
    <row r="11">
      <c r="A11" s="13" t="inlineStr">
        <is>
          <t>Week 10</t>
        </is>
      </c>
      <c r="B11" s="13" t="inlineStr">
        <is>
          <t>UGC Contest: #MySummerSetup</t>
        </is>
      </c>
      <c r="C11" s="13" t="inlineStr">
        <is>
          <t>Instagram, TikTok</t>
        </is>
      </c>
      <c r="D11" s="13" t="inlineStr">
        <is>
          <t>Photo contest</t>
        </is>
      </c>
      <c r="E11" s="13" t="n">
        <v>35000</v>
      </c>
      <c r="F11" s="13" t="n">
        <v>400000</v>
      </c>
      <c r="G11" s="13" t="n">
        <v>20000</v>
      </c>
      <c r="H11" s="13" t="inlineStr">
        <is>
          <t>Community Mgr</t>
        </is>
      </c>
      <c r="I11" s="17" t="inlineStr">
        <is>
          <t>Planned</t>
        </is>
      </c>
    </row>
    <row r="12">
      <c r="A12" s="13" t="inlineStr">
        <is>
          <t>Week 11</t>
        </is>
      </c>
      <c r="B12" s="13" t="inlineStr">
        <is>
          <t>Influencer Takeover: Nourhan Tarek</t>
        </is>
      </c>
      <c r="C12" s="13" t="inlineStr">
        <is>
          <t>TikTok, Instagram</t>
        </is>
      </c>
      <c r="D12" s="13" t="inlineStr">
        <is>
          <t>Unboxing + review</t>
        </is>
      </c>
      <c r="E12" s="13" t="n">
        <v>80000</v>
      </c>
      <c r="F12" s="13" t="n">
        <v>320000</v>
      </c>
      <c r="G12" s="13" t="n">
        <v>16000</v>
      </c>
      <c r="H12" s="13" t="inlineStr">
        <is>
          <t>Influencer Team</t>
        </is>
      </c>
      <c r="I12" s="17" t="inlineStr">
        <is>
          <t>Planned</t>
        </is>
      </c>
    </row>
    <row r="13">
      <c r="A13" s="13" t="inlineStr">
        <is>
          <t>Week 12</t>
        </is>
      </c>
      <c r="B13" s="13" t="inlineStr">
        <is>
          <t>Flash Sale: 48 Hours Only</t>
        </is>
      </c>
      <c r="C13" s="13" t="inlineStr">
        <is>
          <t>All Digital</t>
        </is>
      </c>
      <c r="D13" s="13" t="inlineStr">
        <is>
          <t>Banner + email</t>
        </is>
      </c>
      <c r="E13" s="13" t="n">
        <v>150000</v>
      </c>
      <c r="F13" s="13" t="n">
        <v>600000</v>
      </c>
      <c r="G13" s="13" t="n">
        <v>42000</v>
      </c>
      <c r="H13" s="13" t="inlineStr">
        <is>
          <t>CRM Team</t>
        </is>
      </c>
      <c r="I13" s="17" t="inlineStr">
        <is>
          <t>Planned</t>
        </is>
      </c>
    </row>
    <row r="14">
      <c r="A14" s="13" t="inlineStr">
        <is>
          <t>Week 13</t>
        </is>
      </c>
      <c r="B14" s="13" t="inlineStr">
        <is>
          <t>Wrap-up: Thank You Egypt</t>
        </is>
      </c>
      <c r="C14" s="13" t="inlineStr">
        <is>
          <t>All Channels</t>
        </is>
      </c>
      <c r="D14" s="13" t="inlineStr">
        <is>
          <t>Thank you video</t>
        </is>
      </c>
      <c r="E14" s="13" t="n">
        <v>60000</v>
      </c>
      <c r="F14" s="13" t="n">
        <v>280000</v>
      </c>
      <c r="G14" s="13" t="n">
        <v>14000</v>
      </c>
      <c r="H14" s="13" t="inlineStr">
        <is>
          <t>Content Team</t>
        </is>
      </c>
      <c r="I14" s="17" t="inlineStr">
        <is>
          <t>Planned</t>
        </is>
      </c>
    </row>
  </sheetData>
  <conditionalFormatting sqref="G2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I2 I3 I4 I5 I6 I7 I8 I9 I10 I11 I12 I13 I14" showDropDown="0" showInputMessage="0" showErrorMessage="0" allowBlank="1" type="list">
      <formula1>"Completed,Active,Planned,Delayed,Cancelled"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0" customWidth="1" min="4" max="4"/>
    <col width="16" customWidth="1" min="5" max="5"/>
    <col width="35" customWidth="1" min="6" max="6"/>
    <col width="35" customWidth="1" min="7" max="7"/>
    <col width="40" customWidth="1" min="8" max="8"/>
    <col width="14" customWidth="1" min="9" max="9"/>
  </cols>
  <sheetData>
    <row r="1">
      <c r="A1" t="inlineStr">
        <is>
          <t>Competitor</t>
        </is>
      </c>
      <c r="B1" t="inlineStr">
        <is>
          <t>Market Share</t>
        </is>
      </c>
      <c r="C1" t="inlineStr">
        <is>
          <t>Price Positioning</t>
        </is>
      </c>
      <c r="D1" t="inlineStr">
        <is>
          <t>Digital Spend (Est. EGP)</t>
        </is>
      </c>
      <c r="E1" t="inlineStr">
        <is>
          <t>Social Followers</t>
        </is>
      </c>
      <c r="F1" t="inlineStr">
        <is>
          <t>Strengths</t>
        </is>
      </c>
      <c r="G1" t="inlineStr">
        <is>
          <t>Weaknesses</t>
        </is>
      </c>
      <c r="H1" t="inlineStr">
        <is>
          <t>Our Advantage</t>
        </is>
      </c>
      <c r="I1" t="inlineStr">
        <is>
          <t>Threat Level</t>
        </is>
      </c>
    </row>
    <row r="2">
      <c r="A2" s="13" t="inlineStr">
        <is>
          <t>Anker Egypt</t>
        </is>
      </c>
      <c r="B2" s="13" t="n">
        <v>28</v>
      </c>
      <c r="C2" s="13" t="inlineStr">
        <is>
          <t>Mid-Premium</t>
        </is>
      </c>
      <c r="D2" s="13" t="n">
        <v>1200000</v>
      </c>
      <c r="E2" s="13" t="n">
        <v>450000</v>
      </c>
      <c r="F2" s="13" t="inlineStr">
        <is>
          <t>Strong Amazon presence, trusted brand</t>
        </is>
      </c>
      <c r="G2" s="13" t="inlineStr">
        <is>
          <t>Limited local warranty support</t>
        </is>
      </c>
      <c r="H2" s="13" t="inlineStr">
        <is>
          <t>2-year local warranty + service centers</t>
        </is>
      </c>
      <c r="I2" s="13" t="inlineStr">
        <is>
          <t>High</t>
        </is>
      </c>
    </row>
    <row r="3">
      <c r="A3" s="13" t="inlineStr">
        <is>
          <t>Baseus Egypt</t>
        </is>
      </c>
      <c r="B3" s="13" t="n">
        <v>18</v>
      </c>
      <c r="C3" s="13" t="inlineStr">
        <is>
          <t>Budget-Mid</t>
        </is>
      </c>
      <c r="D3" s="13" t="n">
        <v>800000</v>
      </c>
      <c r="E3" s="13" t="n">
        <v>280000</v>
      </c>
      <c r="F3" s="13" t="inlineStr">
        <is>
          <t>Aggressive pricing, wide retail distribution</t>
        </is>
      </c>
      <c r="G3" s="13" t="inlineStr">
        <is>
          <t>Perceived as low quality</t>
        </is>
      </c>
      <c r="H3" s="13" t="inlineStr">
        <is>
          <t>Better quality at similar price + warranty</t>
        </is>
      </c>
      <c r="I3" s="13" t="inlineStr">
        <is>
          <t>Medium</t>
        </is>
      </c>
    </row>
    <row r="4">
      <c r="A4" s="13" t="inlineStr">
        <is>
          <t>Local Brand X</t>
        </is>
      </c>
      <c r="B4" s="13" t="n">
        <v>15</v>
      </c>
      <c r="C4" s="13" t="inlineStr">
        <is>
          <t>Budget</t>
        </is>
      </c>
      <c r="D4" s="13" t="n">
        <v>150000</v>
      </c>
      <c r="E4" s="13" t="n">
        <v>45000</v>
      </c>
      <c r="F4" s="13" t="inlineStr">
        <is>
          <t>Very low prices, local manufacturing</t>
        </is>
      </c>
      <c r="G4" s="13" t="inlineStr">
        <is>
          <t>No digital presence, poor packaging</t>
        </is>
      </c>
      <c r="H4" s="13" t="inlineStr">
        <is>
          <t>Digital-first + quality + warranty</t>
        </is>
      </c>
      <c r="I4" s="13" t="inlineStr">
        <is>
          <t>Low</t>
        </is>
      </c>
    </row>
    <row r="5">
      <c r="A5" s="13" t="inlineStr">
        <is>
          <t>Samsung Accessories</t>
        </is>
      </c>
      <c r="B5" s="13" t="n">
        <v>22</v>
      </c>
      <c r="C5" s="13" t="inlineStr">
        <is>
          <t>Premium</t>
        </is>
      </c>
      <c r="D5" s="13" t="n">
        <v>2500000</v>
      </c>
      <c r="E5" s="13" t="n">
        <v>1200000</v>
      </c>
      <c r="F5" s="13" t="inlineStr">
        <is>
          <t>Brand loyalty, retail partnerships</t>
        </is>
      </c>
      <c r="G5" s="13" t="inlineStr">
        <is>
          <t>High prices, limited accessories range</t>
        </is>
      </c>
      <c r="H5" s="13" t="inlineStr">
        <is>
          <t>More affordable with comparable quality</t>
        </is>
      </c>
      <c r="I5" s="13" t="inlineStr">
        <is>
          <t>High</t>
        </is>
      </c>
    </row>
    <row r="6">
      <c r="A6" s="13" t="inlineStr">
        <is>
          <t>Apple (Original)</t>
        </is>
      </c>
      <c r="B6" s="13" t="n">
        <v>12</v>
      </c>
      <c r="C6" s="13" t="inlineStr">
        <is>
          <t>Luxury</t>
        </is>
      </c>
      <c r="D6" s="13" t="n">
        <v>1800000</v>
      </c>
      <c r="E6" s="13" t="n">
        <v>950000</v>
      </c>
      <c r="F6" s="13" t="inlineStr">
        <is>
          <t>Premium perception, ecosystem lock-in</t>
        </is>
      </c>
      <c r="G6" s="13" t="inlineStr">
        <is>
          <t>Extremely high prices, no local support</t>
        </is>
      </c>
      <c r="H6" s="13" t="inlineStr">
        <is>
          <t>90% cheaper with 80% of functionality</t>
        </is>
      </c>
      <c r="I6" s="13" t="inlineStr">
        <is>
          <t>Medium</t>
        </is>
      </c>
    </row>
  </sheetData>
  <conditionalFormatting sqref="B2:B6">
    <cfRule type="dataBar" priority="1">
      <dataBar showValue="1">
        <cfvo type="num" val="0"/>
        <cfvo type="max"/>
        <color rgb="00ED7D31"/>
      </dataBar>
    </cfRule>
  </conditionalFormatting>
  <dataValidations count="1">
    <dataValidation sqref="I2 I3 I4 I5 I6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  <col width="50" customWidth="1" min="6" max="6"/>
    <col width="18" customWidth="1" min="7" max="7"/>
    <col width="14" customWidth="1" min="8" max="8"/>
  </cols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Probability</t>
        </is>
      </c>
      <c r="D1" t="inlineStr">
        <is>
          <t>Impact</t>
        </is>
      </c>
      <c r="E1" t="inlineStr">
        <is>
          <t>Risk Score</t>
        </is>
      </c>
      <c r="F1" t="inlineStr">
        <is>
          <t>Mitigation Strategy</t>
        </is>
      </c>
      <c r="G1" t="inlineStr">
        <is>
          <t>Owner</t>
        </is>
      </c>
      <c r="H1" t="inlineStr">
        <is>
          <t>Status</t>
        </is>
      </c>
    </row>
    <row r="2">
      <c r="A2" s="13" t="inlineStr">
        <is>
          <t>R-01</t>
        </is>
      </c>
      <c r="B2" s="13" t="inlineStr">
        <is>
          <t>Further EGP devaluation against USD</t>
        </is>
      </c>
      <c r="C2" s="13" t="inlineStr">
        <is>
          <t>High</t>
        </is>
      </c>
      <c r="D2" s="13" t="inlineStr">
        <is>
          <t>High</t>
        </is>
      </c>
      <c r="E2" s="13" t="n">
        <v>9</v>
      </c>
      <c r="F2" s="13" t="inlineStr">
        <is>
          <t>Hedge 50% of media spend in USD contracts, local production push</t>
        </is>
      </c>
      <c r="G2" s="13" t="inlineStr">
        <is>
          <t>Finance</t>
        </is>
      </c>
      <c r="H2" s="13" t="inlineStr">
        <is>
          <t>Active</t>
        </is>
      </c>
    </row>
    <row r="3">
      <c r="A3" s="13" t="inlineStr">
        <is>
          <t>R-02</t>
        </is>
      </c>
      <c r="B3" s="13" t="inlineStr">
        <is>
          <t>Import delays due to customs regulations</t>
        </is>
      </c>
      <c r="C3" s="13" t="inlineStr">
        <is>
          <t>Medium</t>
        </is>
      </c>
      <c r="D3" s="13" t="inlineStr">
        <is>
          <t>High</t>
        </is>
      </c>
      <c r="E3" s="13" t="n">
        <v>6</v>
      </c>
      <c r="F3" s="13" t="inlineStr">
        <is>
          <t>Buffer 3-week inventory, use local assembly partners</t>
        </is>
      </c>
      <c r="G3" s="13" t="inlineStr">
        <is>
          <t>Operations</t>
        </is>
      </c>
      <c r="H3" s="13" t="inlineStr">
        <is>
          <t>Monitoring</t>
        </is>
      </c>
    </row>
    <row r="4">
      <c r="A4" s="13" t="inlineStr">
        <is>
          <t>R-03</t>
        </is>
      </c>
      <c r="B4" s="13" t="inlineStr">
        <is>
          <t>Competitor launches aggressive counter-campaign</t>
        </is>
      </c>
      <c r="C4" s="13" t="inlineStr">
        <is>
          <t>Medium</t>
        </is>
      </c>
      <c r="D4" s="13" t="inlineStr">
        <is>
          <t>Medium</t>
        </is>
      </c>
      <c r="E4" s="13" t="n">
        <v>4</v>
      </c>
      <c r="F4" s="13" t="inlineStr">
        <is>
          <t>Monitor competitor spend daily, maintain 15% contingency budget</t>
        </is>
      </c>
      <c r="G4" s="13" t="inlineStr">
        <is>
          <t>Strategy</t>
        </is>
      </c>
      <c r="H4" s="13" t="inlineStr">
        <is>
          <t>Monitoring</t>
        </is>
      </c>
    </row>
    <row r="5">
      <c r="A5" s="13" t="inlineStr">
        <is>
          <t>R-04</t>
        </is>
      </c>
      <c r="B5" s="13" t="inlineStr">
        <is>
          <t>Influencer scandal or reputational damage</t>
        </is>
      </c>
      <c r="C5" s="13" t="inlineStr">
        <is>
          <t>Low</t>
        </is>
      </c>
      <c r="D5" s="13" t="inlineStr">
        <is>
          <t>High</t>
        </is>
      </c>
      <c r="E5" s="13" t="n">
        <v>3</v>
      </c>
      <c r="F5" s="13" t="inlineStr">
        <is>
          <t>Vet influencers thoroughly, include morality clauses in contracts</t>
        </is>
      </c>
      <c r="G5" s="13" t="inlineStr">
        <is>
          <t>PR Team</t>
        </is>
      </c>
      <c r="H5" s="13" t="inlineStr">
        <is>
          <t>Mitigated</t>
        </is>
      </c>
    </row>
    <row r="6">
      <c r="A6" s="13" t="inlineStr">
        <is>
          <t>R-05</t>
        </is>
      </c>
      <c r="B6" s="13" t="inlineStr">
        <is>
          <t>Social media platform algorithm changes</t>
        </is>
      </c>
      <c r="C6" s="13" t="inlineStr">
        <is>
          <t>Medium</t>
        </is>
      </c>
      <c r="D6" s="13" t="inlineStr">
        <is>
          <t>Medium</t>
        </is>
      </c>
      <c r="E6" s="13" t="n">
        <v>4</v>
      </c>
      <c r="F6" s="13" t="inlineStr">
        <is>
          <t>Diversify across 4+ platforms, build owned channels (SMS/email)</t>
        </is>
      </c>
      <c r="G6" s="13" t="inlineStr">
        <is>
          <t>Digital Team</t>
        </is>
      </c>
      <c r="H6" s="13" t="inlineStr">
        <is>
          <t>Monitoring</t>
        </is>
      </c>
    </row>
    <row r="7">
      <c r="A7" s="13" t="inlineStr">
        <is>
          <t>R-06</t>
        </is>
      </c>
      <c r="B7" s="13" t="inlineStr">
        <is>
          <t>Low engagement during Ramadan/Eid overlap</t>
        </is>
      </c>
      <c r="C7" s="13" t="inlineStr">
        <is>
          <t>Low</t>
        </is>
      </c>
      <c r="D7" s="13" t="inlineStr">
        <is>
          <t>Medium</t>
        </is>
      </c>
      <c r="E7" s="13" t="n">
        <v>2</v>
      </c>
      <c r="F7" s="13" t="inlineStr">
        <is>
          <t>Pause paid media, shift to organic/community content</t>
        </is>
      </c>
      <c r="G7" s="13" t="inlineStr">
        <is>
          <t>Content Team</t>
        </is>
      </c>
      <c r="H7" s="13" t="inlineStr">
        <is>
          <t>N/A</t>
        </is>
      </c>
    </row>
    <row r="8">
      <c r="A8" s="13" t="inlineStr">
        <is>
          <t>R-07</t>
        </is>
      </c>
      <c r="B8" s="13" t="inlineStr">
        <is>
          <t>Supply chain disruption (port congestion)</t>
        </is>
      </c>
      <c r="C8" s="13" t="inlineStr">
        <is>
          <t>Medium</t>
        </is>
      </c>
      <c r="D8" s="13" t="inlineStr">
        <is>
          <t>High</t>
        </is>
      </c>
      <c r="E8" s="13" t="n">
        <v>6</v>
      </c>
      <c r="F8" s="13" t="inlineStr">
        <is>
          <t>Multi-port strategy, air freight for critical SKUs</t>
        </is>
      </c>
      <c r="G8" s="13" t="inlineStr">
        <is>
          <t>Operations</t>
        </is>
      </c>
      <c r="H8" s="13" t="inlineStr">
        <is>
          <t>Monitoring</t>
        </is>
      </c>
    </row>
    <row r="9">
      <c r="A9" s="13" t="inlineStr">
        <is>
          <t>R-08</t>
        </is>
      </c>
      <c r="B9" s="13" t="inlineStr">
        <is>
          <t>Data privacy regulation changes</t>
        </is>
      </c>
      <c r="C9" s="13" t="inlineStr">
        <is>
          <t>Low</t>
        </is>
      </c>
      <c r="D9" s="13" t="inlineStr">
        <is>
          <t>Medium</t>
        </is>
      </c>
      <c r="E9" s="13" t="n">
        <v>2</v>
      </c>
      <c r="F9" s="13" t="inlineStr">
        <is>
          <t>GDPR-compliant data handling, local server storage</t>
        </is>
      </c>
      <c r="G9" s="13" t="inlineStr">
        <is>
          <t>Legal</t>
        </is>
      </c>
      <c r="H9" s="13" t="inlineStr">
        <is>
          <t>Mitigated</t>
        </is>
      </c>
    </row>
  </sheetData>
  <conditionalFormatting sqref="E2:E9">
    <cfRule type="iconSet" priority="1">
      <iconSet iconSet="3TrafficLights1" showValue="1" percent="1">
        <cfvo type="num" val="0"/>
        <cfvo type="num" val="3"/>
        <cfvo type="num" val="7"/>
      </iconSet>
    </cfRule>
  </conditionalFormatting>
  <dataValidations count="2">
    <dataValidation sqref="C2 C3 C4 C5 C6 C7 C8 C9 D2 D3 D4 D5 D6 D7 D8 D9" showDropDown="0" showInputMessage="0" showErrorMessage="0" allowBlank="1" type="list">
      <formula1>"High,Medium,Low"</formula1>
    </dataValidation>
    <dataValidation sqref="H2 H3 H4 H5 H6 H7 H8 H9" showDropDown="0" showInputMessage="0" showErrorMessage="0" allowBlank="1" type="list">
      <formula1>"Active,Monitoring,Mitigated,N/A,Closed"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</cols>
  <sheetData>
    <row r="1">
      <c r="A1" t="inlineStr">
        <is>
          <t>Week</t>
        </is>
      </c>
      <c r="B1" t="inlineStr">
        <is>
          <t>Date Range</t>
        </is>
      </c>
      <c r="C1" t="inlineStr">
        <is>
          <t>Spend (EGP)</t>
        </is>
      </c>
      <c r="D1" t="inlineStr">
        <is>
          <t>Reach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Revenue (EGP)</t>
        </is>
      </c>
      <c r="I1" t="inlineStr">
        <is>
          <t>ROAS</t>
        </is>
      </c>
    </row>
    <row r="2">
      <c r="A2" s="13" t="inlineStr">
        <is>
          <t>Week 1</t>
        </is>
      </c>
      <c r="B2" s="13" t="inlineStr">
        <is>
          <t>01-07 Jun</t>
        </is>
      </c>
      <c r="C2" s="13" t="n">
        <v>346154</v>
      </c>
      <c r="D2" s="13" t="n">
        <v>180000</v>
      </c>
      <c r="E2" s="13" t="n">
        <v>850000</v>
      </c>
      <c r="F2" s="13" t="n">
        <v>21250</v>
      </c>
      <c r="G2" s="13" t="n">
        <v>595</v>
      </c>
      <c r="H2" s="13" t="n">
        <v>892500</v>
      </c>
      <c r="I2" s="13" t="n">
        <v>2.58</v>
      </c>
    </row>
    <row r="3">
      <c r="A3" s="13" t="inlineStr">
        <is>
          <t>Week 2</t>
        </is>
      </c>
      <c r="B3" s="13" t="inlineStr">
        <is>
          <t>08-14 Jun</t>
        </is>
      </c>
      <c r="C3" s="13" t="n">
        <v>346154</v>
      </c>
      <c r="D3" s="13" t="n">
        <v>220000</v>
      </c>
      <c r="E3" s="13" t="n">
        <v>1100000</v>
      </c>
      <c r="F3" s="13" t="n">
        <v>27500</v>
      </c>
      <c r="G3" s="13" t="n">
        <v>770</v>
      </c>
      <c r="H3" s="13" t="n">
        <v>1155000</v>
      </c>
      <c r="I3" s="13" t="n">
        <v>3.34</v>
      </c>
    </row>
    <row r="4">
      <c r="A4" s="13" t="inlineStr">
        <is>
          <t>Week 3</t>
        </is>
      </c>
      <c r="B4" s="13" t="inlineStr">
        <is>
          <t>15-21 Jun</t>
        </is>
      </c>
      <c r="C4" s="13" t="n">
        <v>346154</v>
      </c>
      <c r="D4" s="13" t="n">
        <v>310000</v>
      </c>
      <c r="E4" s="13" t="n">
        <v>1450000</v>
      </c>
      <c r="F4" s="13" t="n">
        <v>36250</v>
      </c>
      <c r="G4" s="13" t="n">
        <v>1015</v>
      </c>
      <c r="H4" s="13" t="n">
        <v>1522500</v>
      </c>
      <c r="I4" s="13" t="n">
        <v>4.4</v>
      </c>
    </row>
    <row r="5">
      <c r="A5" s="13" t="inlineStr">
        <is>
          <t>Week 4</t>
        </is>
      </c>
      <c r="B5" s="13" t="inlineStr">
        <is>
          <t>22-28 Jun</t>
        </is>
      </c>
      <c r="C5" s="13" t="n">
        <v>346154</v>
      </c>
      <c r="D5" s="13" t="n">
        <v>350000</v>
      </c>
      <c r="E5" s="13" t="n">
        <v>1600000</v>
      </c>
      <c r="F5" s="13" t="n">
        <v>40000</v>
      </c>
      <c r="G5" s="13" t="n">
        <v>1120</v>
      </c>
      <c r="H5" s="13" t="n">
        <v>1680000</v>
      </c>
      <c r="I5" s="13" t="n">
        <v>4.85</v>
      </c>
    </row>
    <row r="6">
      <c r="A6" s="13" t="inlineStr">
        <is>
          <t>Week 5</t>
        </is>
      </c>
      <c r="B6" s="13" t="inlineStr">
        <is>
          <t>29 Jun-05 Jul</t>
        </is>
      </c>
      <c r="C6" s="13" t="n">
        <v>346154</v>
      </c>
      <c r="D6" s="13" t="n">
        <v>290000</v>
      </c>
      <c r="E6" s="13" t="n">
        <v>1300000</v>
      </c>
      <c r="F6" s="13" t="n">
        <v>32500</v>
      </c>
      <c r="G6" s="13" t="n">
        <v>910</v>
      </c>
      <c r="H6" s="13" t="n">
        <v>1365000</v>
      </c>
      <c r="I6" s="13" t="n">
        <v>3.94</v>
      </c>
    </row>
    <row r="7">
      <c r="A7" s="13" t="inlineStr">
        <is>
          <t>Week 6</t>
        </is>
      </c>
      <c r="B7" s="13" t="inlineStr">
        <is>
          <t>06-12 Jul</t>
        </is>
      </c>
      <c r="C7" s="13" t="n">
        <v>346154</v>
      </c>
      <c r="D7" s="13" t="n">
        <v>320000</v>
      </c>
      <c r="E7" s="13" t="n">
        <v>1500000</v>
      </c>
      <c r="F7" s="13" t="n">
        <v>37500</v>
      </c>
      <c r="G7" s="13" t="n">
        <v>1050</v>
      </c>
      <c r="H7" s="13" t="n">
        <v>1575000</v>
      </c>
      <c r="I7" s="13" t="n">
        <v>4.55</v>
      </c>
    </row>
    <row r="8">
      <c r="A8" s="13" t="inlineStr">
        <is>
          <t>Week 7</t>
        </is>
      </c>
      <c r="B8" s="13" t="inlineStr">
        <is>
          <t>13-19 Jul</t>
        </is>
      </c>
      <c r="C8" s="13" t="n">
        <v>346154</v>
      </c>
      <c r="D8" s="13" t="n">
        <v>280000</v>
      </c>
      <c r="E8" s="13" t="n">
        <v>1250000</v>
      </c>
      <c r="F8" s="13" t="n">
        <v>31250</v>
      </c>
      <c r="G8" s="13" t="n">
        <v>875</v>
      </c>
      <c r="H8" s="13" t="n">
        <v>1312500</v>
      </c>
      <c r="I8" s="13" t="n">
        <v>3.79</v>
      </c>
    </row>
    <row r="9">
      <c r="A9" s="13" t="inlineStr">
        <is>
          <t>Week 8</t>
        </is>
      </c>
      <c r="B9" s="13" t="inlineStr">
        <is>
          <t>20-26 Jul</t>
        </is>
      </c>
      <c r="C9" s="13" t="n">
        <v>346154</v>
      </c>
      <c r="D9" s="13" t="n">
        <v>260000</v>
      </c>
      <c r="E9" s="13" t="n">
        <v>1150000</v>
      </c>
      <c r="F9" s="13" t="n">
        <v>28750</v>
      </c>
      <c r="G9" s="13" t="n">
        <v>805</v>
      </c>
      <c r="H9" s="13" t="n">
        <v>1207500</v>
      </c>
      <c r="I9" s="13" t="n">
        <v>3.49</v>
      </c>
    </row>
    <row r="10">
      <c r="A10" s="13" t="inlineStr">
        <is>
          <t>Week 9</t>
        </is>
      </c>
      <c r="B10" s="13" t="inlineStr">
        <is>
          <t>27 Jul-02 Aug</t>
        </is>
      </c>
      <c r="C10" s="13" t="n">
        <v>346154</v>
      </c>
      <c r="D10" s="13" t="n">
        <v>240000</v>
      </c>
      <c r="E10" s="13" t="n">
        <v>1050000</v>
      </c>
      <c r="F10" s="13" t="n">
        <v>26250</v>
      </c>
      <c r="G10" s="13" t="n">
        <v>735</v>
      </c>
      <c r="H10" s="13" t="n">
        <v>1102500</v>
      </c>
      <c r="I10" s="13" t="n">
        <v>3.18</v>
      </c>
    </row>
    <row r="11">
      <c r="A11" s="13" t="inlineStr">
        <is>
          <t>Week 10</t>
        </is>
      </c>
      <c r="B11" s="13" t="inlineStr">
        <is>
          <t>03-09 Aug</t>
        </is>
      </c>
      <c r="C11" s="13" t="n">
        <v>346154</v>
      </c>
      <c r="D11" s="13" t="n">
        <v>270000</v>
      </c>
      <c r="E11" s="13" t="n">
        <v>1200000</v>
      </c>
      <c r="F11" s="13" t="n">
        <v>30000</v>
      </c>
      <c r="G11" s="13" t="n">
        <v>840</v>
      </c>
      <c r="H11" s="13" t="n">
        <v>1260000</v>
      </c>
      <c r="I11" s="13" t="n">
        <v>3.64</v>
      </c>
    </row>
    <row r="12">
      <c r="A12" s="13" t="inlineStr">
        <is>
          <t>Week 11</t>
        </is>
      </c>
      <c r="B12" s="13" t="inlineStr">
        <is>
          <t>10-16 Aug</t>
        </is>
      </c>
      <c r="C12" s="13" t="n">
        <v>346154</v>
      </c>
      <c r="D12" s="13" t="n">
        <v>300000</v>
      </c>
      <c r="E12" s="13" t="n">
        <v>1400000</v>
      </c>
      <c r="F12" s="13" t="n">
        <v>35000</v>
      </c>
      <c r="G12" s="13" t="n">
        <v>980</v>
      </c>
      <c r="H12" s="13" t="n">
        <v>1470000</v>
      </c>
      <c r="I12" s="13" t="n">
        <v>4.25</v>
      </c>
    </row>
    <row r="13">
      <c r="A13" s="13" t="inlineStr">
        <is>
          <t>Week 12</t>
        </is>
      </c>
      <c r="B13" s="13" t="inlineStr">
        <is>
          <t>17-23 Aug</t>
        </is>
      </c>
      <c r="C13" s="13" t="n">
        <v>346154</v>
      </c>
      <c r="D13" s="13" t="n">
        <v>330000</v>
      </c>
      <c r="E13" s="13" t="n">
        <v>1550000</v>
      </c>
      <c r="F13" s="13" t="n">
        <v>38750</v>
      </c>
      <c r="G13" s="13" t="n">
        <v>1085</v>
      </c>
      <c r="H13" s="13" t="n">
        <v>1627500</v>
      </c>
      <c r="I13" s="13" t="n">
        <v>4.7</v>
      </c>
    </row>
    <row r="14">
      <c r="A14" s="13" t="inlineStr">
        <is>
          <t>Week 13</t>
        </is>
      </c>
      <c r="B14" s="13" t="inlineStr">
        <is>
          <t>24-31 Aug</t>
        </is>
      </c>
      <c r="C14" s="13" t="n">
        <v>346162</v>
      </c>
      <c r="D14" s="13" t="n">
        <v>377891</v>
      </c>
      <c r="E14" s="13" t="n">
        <v>1850000</v>
      </c>
      <c r="F14" s="13" t="n">
        <v>47222</v>
      </c>
      <c r="G14" s="13" t="n">
        <v>1322</v>
      </c>
      <c r="H14" s="13" t="n">
        <v>1983300</v>
      </c>
      <c r="I14" s="13" t="n">
        <v>5.73</v>
      </c>
    </row>
  </sheetData>
  <conditionalFormatting sqref="H2:H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4">
    <cfRule type="dataBar" priority="2">
      <dataBar showValue="1">
        <cfvo type="num" val="0"/>
        <cfvo type="max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45" customWidth="1" min="6" max="6"/>
  </cols>
  <sheetData>
    <row r="1">
      <c r="A1" s="8" t="inlineStr">
        <is>
          <t>CATEGORY</t>
        </is>
      </c>
      <c r="B1" s="8" t="inlineStr">
        <is>
          <t>BUDGETED (EGP)</t>
        </is>
      </c>
      <c r="C1" s="8" t="inlineStr">
        <is>
          <t>ACTUAL (EGP)</t>
        </is>
      </c>
      <c r="D1" s="8" t="inlineStr">
        <is>
          <t>VARIANCE (EGP)</t>
        </is>
      </c>
      <c r="E1" s="8" t="inlineStr">
        <is>
          <t>VARIANCE %</t>
        </is>
      </c>
      <c r="F1" s="8" t="inlineStr">
        <is>
          <t>NOTES</t>
        </is>
      </c>
    </row>
    <row r="2">
      <c r="A2" s="13" t="inlineStr">
        <is>
          <t>Media Spend</t>
        </is>
      </c>
      <c r="B2" s="13" t="n">
        <v>4050000</v>
      </c>
      <c r="C2" s="13" t="n">
        <v>3620000</v>
      </c>
      <c r="D2" s="18" t="n">
        <v>-430000</v>
      </c>
      <c r="E2" s="18" t="n">
        <v>-10.6</v>
      </c>
      <c r="F2" s="13" t="inlineStr">
        <is>
          <t>Under-spend due to delayed TikTok approval</t>
        </is>
      </c>
    </row>
    <row r="3">
      <c r="A3" s="13" t="inlineStr">
        <is>
          <t>Production Costs</t>
        </is>
      </c>
      <c r="B3" s="13" t="n">
        <v>225000</v>
      </c>
      <c r="C3" s="13" t="n">
        <v>198000</v>
      </c>
      <c r="D3" s="18" t="n">
        <v>-27000</v>
      </c>
      <c r="E3" s="18" t="n">
        <v>-12</v>
      </c>
      <c r="F3" s="13" t="inlineStr">
        <is>
          <t>Video production under budget</t>
        </is>
      </c>
    </row>
    <row r="4">
      <c r="A4" s="13" t="inlineStr">
        <is>
          <t>Influencer Fees</t>
        </is>
      </c>
      <c r="B4" s="13" t="n">
        <v>675000</v>
      </c>
      <c r="C4" s="13" t="n">
        <v>720000</v>
      </c>
      <c r="D4" s="19" t="n">
        <v>45000</v>
      </c>
      <c r="E4" s="13" t="n">
        <v>6.7</v>
      </c>
      <c r="F4" s="13" t="inlineStr">
        <is>
          <t>Additional macro influencer added mid-campaign</t>
        </is>
      </c>
    </row>
    <row r="5">
      <c r="A5" s="13" t="inlineStr">
        <is>
          <t>Agency Fees</t>
        </is>
      </c>
      <c r="B5" s="13" t="n">
        <v>180000</v>
      </c>
      <c r="C5" s="13" t="n">
        <v>180000</v>
      </c>
      <c r="D5" s="13" t="n">
        <v>0</v>
      </c>
      <c r="E5" s="13" t="n">
        <v>0</v>
      </c>
      <c r="F5" s="13" t="inlineStr">
        <is>
          <t>Fixed fee contract</t>
        </is>
      </c>
    </row>
    <row r="6">
      <c r="A6" s="13" t="inlineStr">
        <is>
          <t>Event Costs</t>
        </is>
      </c>
      <c r="B6" s="13" t="n">
        <v>120000</v>
      </c>
      <c r="C6" s="13" t="n">
        <v>145000</v>
      </c>
      <c r="D6" s="19" t="n">
        <v>25000</v>
      </c>
      <c r="E6" s="13" t="n">
        <v>20.8</v>
      </c>
      <c r="F6" s="13" t="inlineStr">
        <is>
          <t>Launch event exceeded initial scope</t>
        </is>
      </c>
    </row>
    <row r="7">
      <c r="A7" s="13" t="inlineStr">
        <is>
          <t>Contingency</t>
        </is>
      </c>
      <c r="B7" s="13" t="n">
        <v>450000</v>
      </c>
      <c r="C7" s="13" t="n">
        <v>135000</v>
      </c>
      <c r="D7" s="18" t="n">
        <v>-315000</v>
      </c>
      <c r="E7" s="18" t="n">
        <v>-70</v>
      </c>
      <c r="F7" s="13" t="inlineStr">
        <is>
          <t>Reserved for Phase 5 optimization</t>
        </is>
      </c>
    </row>
    <row r="8">
      <c r="A8" s="20" t="inlineStr"/>
      <c r="B8" s="20" t="inlineStr"/>
      <c r="C8" s="20" t="inlineStr"/>
      <c r="D8" s="20" t="inlineStr"/>
      <c r="E8" s="20" t="inlineStr"/>
      <c r="F8" s="20" t="inlineStr"/>
    </row>
    <row r="9">
      <c r="A9" s="13" t="inlineStr">
        <is>
          <t>TOTAL</t>
        </is>
      </c>
      <c r="B9" s="13" t="n">
        <v>5700000</v>
      </c>
      <c r="C9" s="13" t="n">
        <v>4998000</v>
      </c>
      <c r="D9" s="18" t="n">
        <v>-702000</v>
      </c>
      <c r="E9" s="18" t="n">
        <v>-12.3</v>
      </c>
      <c r="F9" s="13" t="inlineStr">
        <is>
          <t>Net under-spend; reallocation recommended</t>
        </is>
      </c>
    </row>
    <row r="10">
      <c r="A10" s="21" t="inlineStr"/>
      <c r="B10" s="21" t="inlineStr"/>
      <c r="C10" s="21" t="inlineStr"/>
      <c r="D10" s="21" t="inlineStr"/>
      <c r="E10" s="21" t="inlineStr"/>
      <c r="F10" s="21" t="inlineStr"/>
    </row>
    <row r="11">
      <c r="A11" s="13" t="inlineStr">
        <is>
          <t>REVENUE METRICS</t>
        </is>
      </c>
      <c r="B11" s="13" t="inlineStr"/>
      <c r="C11" s="13" t="inlineStr"/>
      <c r="D11" s="13" t="inlineStr"/>
      <c r="E11" s="13" t="inlineStr"/>
      <c r="F11" s="13" t="inlineStr"/>
    </row>
    <row r="12">
      <c r="A12" s="13" t="inlineStr">
        <is>
          <t>Gross Revenue</t>
        </is>
      </c>
      <c r="B12" s="13" t="inlineStr"/>
      <c r="C12" s="13" t="n">
        <v>11800000</v>
      </c>
      <c r="D12" s="13" t="inlineStr"/>
      <c r="E12" s="13" t="inlineStr"/>
      <c r="F12" s="13" t="inlineStr">
        <is>
          <t>From attributed campaign sales</t>
        </is>
      </c>
    </row>
    <row r="13">
      <c r="A13" s="13" t="inlineStr">
        <is>
          <t>Net Revenue (after COGS)</t>
        </is>
      </c>
      <c r="B13" s="13" t="inlineStr"/>
      <c r="C13" s="13" t="n">
        <v>8260000</v>
      </c>
      <c r="D13" s="13" t="inlineStr"/>
      <c r="E13" s="13" t="inlineStr"/>
      <c r="F13" s="13" t="inlineStr">
        <is>
          <t>30% COGS assumption</t>
        </is>
      </c>
    </row>
    <row r="14">
      <c r="A14" s="13" t="inlineStr">
        <is>
          <t>Campaign Profit</t>
        </is>
      </c>
      <c r="B14" s="13" t="inlineStr"/>
      <c r="C14" s="13" t="n">
        <v>3262000</v>
      </c>
      <c r="D14" s="13" t="inlineStr"/>
      <c r="E14" s="13" t="inlineStr"/>
      <c r="F14" s="13" t="inlineStr">
        <is>
          <t>Net Revenue - Actual Spend</t>
        </is>
      </c>
    </row>
    <row r="15">
      <c r="A15" s="13" t="inlineStr">
        <is>
          <t>ROI</t>
        </is>
      </c>
      <c r="B15" s="13" t="inlineStr"/>
      <c r="C15" s="13" t="n">
        <v>65.3</v>
      </c>
      <c r="D15" s="13" t="inlineStr">
        <is>
          <t>%</t>
        </is>
      </c>
      <c r="E15" s="13" t="inlineStr"/>
      <c r="F15" s="13" t="inlineStr">
        <is>
          <t>Campaign Profit / Actual Spend</t>
        </is>
      </c>
    </row>
    <row r="16">
      <c r="A16" s="13" t="inlineStr">
        <is>
          <t>ROAS</t>
        </is>
      </c>
      <c r="B16" s="13" t="inlineStr"/>
      <c r="C16" s="13" t="n">
        <v>2.36</v>
      </c>
      <c r="D16" s="13" t="inlineStr">
        <is>
          <t>x</t>
        </is>
      </c>
      <c r="E16" s="13" t="inlineStr"/>
      <c r="F16" s="13" t="inlineStr">
        <is>
          <t>Gross Revenue / Actual Spend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</cols>
  <sheetData>
    <row r="1">
      <c r="A1" t="inlineStr">
        <is>
          <t>Region</t>
        </is>
      </c>
      <c r="B1" t="inlineStr">
        <is>
          <t>Population (M)</t>
        </is>
      </c>
      <c r="C1" t="inlineStr">
        <is>
          <t>Target Audience %</t>
        </is>
      </c>
      <c r="D1" t="inlineStr">
        <is>
          <t>Media Spend (EGP)</t>
        </is>
      </c>
      <c r="E1" t="inlineStr">
        <is>
          <t>Reach</t>
        </is>
      </c>
      <c r="F1" t="inlineStr">
        <is>
          <t>Conversion Rate</t>
        </is>
      </c>
      <c r="G1" t="inlineStr">
        <is>
          <t>Revenue (EGP)</t>
        </is>
      </c>
      <c r="H1" t="inlineStr">
        <is>
          <t>ROAS</t>
        </is>
      </c>
      <c r="I1" t="inlineStr">
        <is>
          <t>Priority</t>
        </is>
      </c>
    </row>
    <row r="2">
      <c r="A2" s="13" t="inlineStr">
        <is>
          <t>Greater Cairo</t>
        </is>
      </c>
      <c r="B2" s="13" t="n">
        <v>20.5</v>
      </c>
      <c r="C2" s="13" t="n">
        <v>35</v>
      </c>
      <c r="D2" s="13" t="n">
        <v>1575000</v>
      </c>
      <c r="E2" s="13" t="n">
        <v>1136762</v>
      </c>
      <c r="F2" s="13" t="n">
        <v>3.2</v>
      </c>
      <c r="G2" s="13" t="n">
        <v>4130000</v>
      </c>
      <c r="H2" s="13" t="n">
        <v>2.62</v>
      </c>
      <c r="I2" s="13" t="inlineStr">
        <is>
          <t>High</t>
        </is>
      </c>
    </row>
    <row r="3">
      <c r="A3" s="13" t="inlineStr">
        <is>
          <t>Alexandria</t>
        </is>
      </c>
      <c r="B3" s="13" t="n">
        <v>5.2</v>
      </c>
      <c r="C3" s="13" t="n">
        <v>18</v>
      </c>
      <c r="D3" s="13" t="n">
        <v>810000</v>
      </c>
      <c r="E3" s="13" t="n">
        <v>584205</v>
      </c>
      <c r="F3" s="13" t="n">
        <v>3.5</v>
      </c>
      <c r="G3" s="13" t="n">
        <v>2240000</v>
      </c>
      <c r="H3" s="13" t="n">
        <v>2.77</v>
      </c>
      <c r="I3" s="13" t="inlineStr">
        <is>
          <t>High</t>
        </is>
      </c>
    </row>
    <row r="4">
      <c r="A4" s="13" t="inlineStr">
        <is>
          <t>Giza</t>
        </is>
      </c>
      <c r="B4" s="13" t="n">
        <v>8.800000000000001</v>
      </c>
      <c r="C4" s="13" t="n">
        <v>15</v>
      </c>
      <c r="D4" s="13" t="n">
        <v>675000</v>
      </c>
      <c r="E4" s="13" t="n">
        <v>486837</v>
      </c>
      <c r="F4" s="13" t="n">
        <v>2.8</v>
      </c>
      <c r="G4" s="13" t="n">
        <v>1680000</v>
      </c>
      <c r="H4" s="13" t="n">
        <v>2.49</v>
      </c>
      <c r="I4" s="13" t="inlineStr">
        <is>
          <t>High</t>
        </is>
      </c>
    </row>
    <row r="5">
      <c r="A5" s="13" t="inlineStr">
        <is>
          <t>Delta (Mansoura/Tanta/Zagazig)</t>
        </is>
      </c>
      <c r="B5" s="13" t="n">
        <v>12.4</v>
      </c>
      <c r="C5" s="13" t="n">
        <v>14</v>
      </c>
      <c r="D5" s="13" t="n">
        <v>630000</v>
      </c>
      <c r="E5" s="13" t="n">
        <v>454382</v>
      </c>
      <c r="F5" s="13" t="n">
        <v>2.4</v>
      </c>
      <c r="G5" s="13" t="n">
        <v>1350000</v>
      </c>
      <c r="H5" s="13" t="n">
        <v>2.14</v>
      </c>
      <c r="I5" s="13" t="inlineStr">
        <is>
          <t>Medium</t>
        </is>
      </c>
    </row>
    <row r="6">
      <c r="A6" s="13" t="inlineStr">
        <is>
          <t>Upper Egypt (Sohag/Assiut)</t>
        </is>
      </c>
      <c r="B6" s="13" t="n">
        <v>8.6</v>
      </c>
      <c r="C6" s="13" t="n">
        <v>10</v>
      </c>
      <c r="D6" s="13" t="n">
        <v>450000</v>
      </c>
      <c r="E6" s="13" t="n">
        <v>324559</v>
      </c>
      <c r="F6" s="13" t="n">
        <v>1.9</v>
      </c>
      <c r="G6" s="13" t="n">
        <v>890000</v>
      </c>
      <c r="H6" s="13" t="n">
        <v>1.98</v>
      </c>
      <c r="I6" s="13" t="inlineStr">
        <is>
          <t>Medium</t>
        </is>
      </c>
    </row>
    <row r="7">
      <c r="A7" s="13" t="inlineStr">
        <is>
          <t>Canal (Suez/Ismailia/Port Said)</t>
        </is>
      </c>
      <c r="B7" s="13" t="n">
        <v>3.2</v>
      </c>
      <c r="C7" s="13" t="n">
        <v>4</v>
      </c>
      <c r="D7" s="13" t="n">
        <v>180000</v>
      </c>
      <c r="E7" s="13" t="n">
        <v>129823</v>
      </c>
      <c r="F7" s="13" t="n">
        <v>2.1</v>
      </c>
      <c r="G7" s="13" t="n">
        <v>420000</v>
      </c>
      <c r="H7" s="13" t="n">
        <v>2.33</v>
      </c>
      <c r="I7" s="13" t="inlineStr">
        <is>
          <t>Low</t>
        </is>
      </c>
    </row>
    <row r="8">
      <c r="A8" s="13" t="inlineStr">
        <is>
          <t>Red Sea (Hurghada)</t>
        </is>
      </c>
      <c r="B8" s="13" t="n">
        <v>0.9</v>
      </c>
      <c r="C8" s="13" t="n">
        <v>3</v>
      </c>
      <c r="D8" s="13" t="n">
        <v>135000</v>
      </c>
      <c r="E8" s="13" t="n">
        <v>97367</v>
      </c>
      <c r="F8" s="13" t="n">
        <v>2.6</v>
      </c>
      <c r="G8" s="13" t="n">
        <v>380000</v>
      </c>
      <c r="H8" s="13" t="n">
        <v>2.81</v>
      </c>
      <c r="I8" s="13" t="inlineStr">
        <is>
          <t>Low</t>
        </is>
      </c>
    </row>
    <row r="9">
      <c r="A9" s="13" t="inlineStr">
        <is>
          <t>Sinai (North/South)</t>
        </is>
      </c>
      <c r="B9" s="13" t="n">
        <v>0.6</v>
      </c>
      <c r="C9" s="13" t="n">
        <v>1</v>
      </c>
      <c r="D9" s="13" t="n">
        <v>45000</v>
      </c>
      <c r="E9" s="13" t="n">
        <v>32456</v>
      </c>
      <c r="F9" s="13" t="n">
        <v>1.5</v>
      </c>
      <c r="G9" s="13" t="n">
        <v>120000</v>
      </c>
      <c r="H9" s="13" t="n">
        <v>2.67</v>
      </c>
      <c r="I9" s="13" t="inlineStr">
        <is>
          <t>Low</t>
        </is>
      </c>
    </row>
  </sheetData>
  <conditionalFormatting sqref="H2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9">
    <cfRule type="dataBar" priority="2">
      <dataBar showValue="1">
        <cfvo type="num" val="0"/>
        <cfvo type="max"/>
        <color rgb="004472C4"/>
      </dataBar>
    </cfRule>
  </conditionalFormatting>
  <dataValidations count="1">
    <dataValidation sqref="I2 I3 I4 I5 I6 I7 I8 I9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2026-05-21T09:58:43Z</dcterms:created>
  <dcterms:modified xmlns:dcterms="http://purl.org/dc/terms/" xmlns:xsi="http://www.w3.org/2001/XMLSchema-instance" xsi:type="dcterms:W3CDTF">2026-05-21T09:58:43Z</dcterms:modified>
</cp:coreProperties>
</file>